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5.Data Yaser\Project\Arduino\Excel Data Streamer\Robot Programming\"/>
    </mc:Choice>
  </mc:AlternateContent>
  <xr:revisionPtr revIDLastSave="0" documentId="13_ncr:1_{BBAABF55-3048-4216-BB48-E406CE27606B}" xr6:coauthVersionLast="47" xr6:coauthVersionMax="47" xr10:uidLastSave="{00000000-0000-0000-0000-000000000000}"/>
  <bookViews>
    <workbookView xWindow="-120" yWindow="-120" windowWidth="20730" windowHeight="11760" xr2:uid="{63F57C75-4AEB-4B0F-82D8-AC769E109B6D}"/>
  </bookViews>
  <sheets>
    <sheet name="Robot Programming" sheetId="1" r:id="rId1"/>
    <sheet name="Data In" sheetId="5" r:id="rId2"/>
    <sheet name="Data Out" sheetId="4" r:id="rId3"/>
    <sheet name="Settings" sheetId="3" r:id="rId4"/>
    <sheet name="Manifest" sheetId="2" r:id="rId5"/>
    <sheet name="Arduino_Code" sheetId="7" r:id="rId6"/>
    <sheet name="Ref" sheetId="6" r:id="rId7"/>
  </sheets>
  <definedNames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4" i="1" l="1"/>
  <c r="A111" i="1"/>
  <c r="A112" i="1" s="1"/>
  <c r="A113" i="1" s="1"/>
  <c r="A107" i="1"/>
  <c r="A108" i="1" s="1"/>
  <c r="A109" i="1" s="1"/>
  <c r="A110" i="1" s="1"/>
  <c r="A97" i="1"/>
  <c r="A98" i="1" s="1"/>
  <c r="A99" i="1" s="1"/>
  <c r="A100" i="1" s="1"/>
  <c r="A101" i="1" s="1"/>
  <c r="A102" i="1" s="1"/>
  <c r="A103" i="1" s="1"/>
  <c r="A104" i="1" s="1"/>
  <c r="A105" i="1" s="1"/>
  <c r="A106" i="1" s="1"/>
  <c r="A87" i="1"/>
  <c r="A88" i="1" s="1"/>
  <c r="A89" i="1" s="1"/>
  <c r="A90" i="1" s="1"/>
  <c r="A91" i="1" s="1"/>
  <c r="A92" i="1" s="1"/>
  <c r="A93" i="1" s="1"/>
  <c r="A94" i="1" s="1"/>
  <c r="A95" i="1" s="1"/>
  <c r="A96" i="1" s="1"/>
  <c r="A79" i="1"/>
  <c r="A80" i="1" s="1"/>
  <c r="A81" i="1" s="1"/>
  <c r="A82" i="1" s="1"/>
  <c r="A83" i="1" s="1"/>
  <c r="A84" i="1" s="1"/>
  <c r="A85" i="1" s="1"/>
  <c r="A86" i="1" s="1"/>
  <c r="A70" i="1"/>
  <c r="A71" i="1" s="1"/>
  <c r="A72" i="1" s="1"/>
  <c r="A73" i="1" s="1"/>
  <c r="A74" i="1" s="1"/>
  <c r="A75" i="1" s="1"/>
  <c r="A76" i="1" s="1"/>
  <c r="A77" i="1" s="1"/>
  <c r="A78" i="1" s="1"/>
  <c r="D4" i="1"/>
  <c r="A26" i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25" i="1"/>
  <c r="A23" i="1"/>
  <c r="A22" i="1"/>
  <c r="A21" i="1"/>
  <c r="A20" i="1"/>
  <c r="A19" i="1"/>
  <c r="A18" i="1"/>
  <c r="A17" i="1"/>
  <c r="A15" i="1"/>
  <c r="E4" i="1"/>
  <c r="F4" i="1"/>
  <c r="G4" i="1"/>
  <c r="H4" i="1"/>
  <c r="C4" i="1"/>
  <c r="B4" i="1"/>
  <c r="A24" i="1" l="1"/>
  <c r="A16" i="1"/>
  <c r="H9" i="1" s="1"/>
  <c r="B9" i="1" l="1"/>
  <c r="C2" i="6" s="1"/>
  <c r="G9" i="1"/>
  <c r="H2" i="6" s="1"/>
  <c r="E9" i="1"/>
  <c r="F2" i="6" s="1"/>
  <c r="C9" i="1"/>
  <c r="D2" i="6" s="1"/>
  <c r="D9" i="1"/>
  <c r="E2" i="6" s="1"/>
  <c r="F9" i="1"/>
  <c r="G2" i="6" s="1"/>
  <c r="I2" i="6" l="1"/>
</calcChain>
</file>

<file path=xl/sharedStrings.xml><?xml version="1.0" encoding="utf-8"?>
<sst xmlns="http://schemas.openxmlformats.org/spreadsheetml/2006/main" count="225" uniqueCount="89">
  <si>
    <t>Channels</t>
  </si>
  <si>
    <t>Data Source Id</t>
  </si>
  <si>
    <t>Data Interval (ms)</t>
  </si>
  <si>
    <t>Baud Rate</t>
  </si>
  <si>
    <t>This manifest was generated for the connected device. You can edit the device name and channel data here and the Data In worksheet will be updated.</t>
  </si>
  <si>
    <t>Id</t>
  </si>
  <si>
    <t>Name</t>
  </si>
  <si>
    <t>Description</t>
  </si>
  <si>
    <t>Unit of Measure</t>
  </si>
  <si>
    <t>Active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</si>
  <si>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</si>
  <si>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</si>
  <si>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</si>
  <si>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</si>
  <si>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</si>
  <si>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</si>
  <si>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</si>
  <si>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</si>
  <si>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</si>
  <si>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</si>
  <si>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</si>
  <si>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</si>
  <si>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</si>
  <si>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</si>
  <si>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</si>
  <si>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</si>
  <si>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</si>
  <si>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</si>
  <si>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</si>
  <si>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Out (To Device)</t>
  </si>
  <si>
    <t>Data entered into the channels below will be sent to the currently connected device as a comma-delimited string.</t>
  </si>
  <si>
    <t>Data coming from the current data source will appear below as it is received.</t>
  </si>
  <si>
    <t>Current Data</t>
  </si>
  <si>
    <t>TIME</t>
  </si>
  <si>
    <t>Historical Data</t>
  </si>
  <si>
    <t>Current Position of Servo</t>
  </si>
  <si>
    <t>X-Servo</t>
  </si>
  <si>
    <t>Y-Servo</t>
  </si>
  <si>
    <t>Z1-Servo</t>
  </si>
  <si>
    <t>Z2-Servo</t>
  </si>
  <si>
    <t>Rotate-Servo</t>
  </si>
  <si>
    <t>Grip-Servo</t>
  </si>
  <si>
    <t>Time</t>
  </si>
  <si>
    <t>List of Movement</t>
  </si>
  <si>
    <t>No</t>
  </si>
  <si>
    <t>Speed</t>
  </si>
  <si>
    <t>Arduino Uno</t>
  </si>
  <si>
    <t>Data In (From Arduino Uno (COM6))</t>
  </si>
  <si>
    <t>Note</t>
  </si>
  <si>
    <t>Home Position</t>
  </si>
  <si>
    <t>Normal</t>
  </si>
  <si>
    <t>Slow</t>
  </si>
  <si>
    <t>Status</t>
  </si>
  <si>
    <t>Current Number</t>
  </si>
  <si>
    <t>Max Number</t>
  </si>
  <si>
    <t>00:56,926</t>
  </si>
  <si>
    <t>Running Servo</t>
  </si>
  <si>
    <t>Looping</t>
  </si>
  <si>
    <t>void movement() {</t>
  </si>
  <si>
    <t>x_target=238;</t>
  </si>
  <si>
    <t>y_target=120;</t>
  </si>
  <si>
    <t>z1_target=0;</t>
  </si>
  <si>
    <t>z2_target=400;</t>
  </si>
  <si>
    <t>rotate_target=0;</t>
  </si>
  <si>
    <t>grip_target=220;</t>
  </si>
  <si>
    <t>move_slow();</t>
  </si>
  <si>
    <t>x_target=298;</t>
  </si>
  <si>
    <t>grip_target=100;</t>
  </si>
  <si>
    <t>y_target=242;</t>
  </si>
  <si>
    <t>move_normal();</t>
  </si>
  <si>
    <t>}</t>
  </si>
  <si>
    <t>x_target=242;</t>
  </si>
  <si>
    <t>y_target=200;</t>
  </si>
  <si>
    <t>z1_target=56;</t>
  </si>
  <si>
    <t>z2_target=222;</t>
  </si>
  <si>
    <t>z2_target=148;</t>
  </si>
  <si>
    <t>rotate_target=404;</t>
  </si>
  <si>
    <t>y_target=356;</t>
  </si>
  <si>
    <t>z1_target=118;</t>
  </si>
  <si>
    <t>y_target=272;</t>
  </si>
  <si>
    <t>z1_target=48;</t>
  </si>
  <si>
    <t>x_target=212;</t>
  </si>
  <si>
    <t>y_target=264;</t>
  </si>
  <si>
    <t>z2_target=146;</t>
  </si>
  <si>
    <t>grip_target=130;</t>
  </si>
  <si>
    <t>y_target=186;</t>
  </si>
  <si>
    <t>Standby</t>
  </si>
  <si>
    <t>F752DAF7-CAD1-4F1D-95C6-D36C43206110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</si>
  <si>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F752DAF7-CAD1-4F1D-95C6-D36C43206110","IsGenerated":true,"Name":"Arduino Uno","Version":null,"BaudRate":9600}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</si>
</sst>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9" fillId="5" borderId="0" xfId="0" applyFont="1" applyFill="1" applyAlignment="1" applyProtection="1">
      <alignment horizontal="left" vertical="center" indent="1"/>
      <protection locked="0"/>
    </xf>
    <xf numFmtId="0" fontId="10" fillId="6" borderId="2" xfId="0" applyFont="1" applyFill="1" applyBorder="1" applyAlignment="1" applyProtection="1">
      <alignment horizontal="left" vertical="center" indent="1"/>
      <protection locked="0"/>
    </xf>
    <xf numFmtId="0" fontId="5" fillId="6" borderId="3" xfId="0" applyFont="1" applyFill="1" applyBorder="1" applyAlignment="1" applyProtection="1">
      <alignment horizontal="left" vertical="center" indent="1"/>
      <protection locked="0"/>
    </xf>
    <xf numFmtId="0" fontId="10" fillId="6" borderId="4" xfId="0" applyFont="1" applyFill="1" applyBorder="1" applyAlignment="1" applyProtection="1">
      <alignment horizontal="left" vertical="center" indent="1"/>
      <protection locked="0"/>
    </xf>
    <xf numFmtId="0" fontId="5" fillId="6" borderId="5" xfId="0" applyFont="1" applyFill="1" applyBorder="1" applyAlignment="1" applyProtection="1">
      <alignment horizontal="left" vertical="center" indent="1"/>
      <protection locked="0"/>
    </xf>
    <xf numFmtId="0" fontId="5" fillId="6" borderId="6" xfId="0" applyFont="1" applyFill="1" applyBorder="1" applyAlignment="1" applyProtection="1">
      <alignment horizontal="left" vertical="center" indent="1"/>
      <protection locked="0"/>
    </xf>
    <xf numFmtId="0" fontId="5" fillId="6" borderId="7" xfId="0" applyFont="1" applyFill="1" applyBorder="1" applyAlignment="1" applyProtection="1">
      <alignment horizontal="left" vertical="center" indent="1"/>
      <protection locked="0"/>
    </xf>
    <xf numFmtId="0" fontId="5" fillId="6" borderId="9" xfId="0" applyFont="1" applyFill="1" applyBorder="1" applyAlignment="1" applyProtection="1">
      <alignment horizontal="left" vertical="center" indent="1"/>
      <protection locked="0"/>
    </xf>
    <xf numFmtId="0" fontId="10" fillId="6" borderId="8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11" fillId="7" borderId="0" xfId="0" applyFont="1" applyFill="1" applyAlignment="1" applyProtection="1">
      <alignment horizontal="left" vertical="center" indent="1"/>
      <protection locked="0"/>
    </xf>
    <xf numFmtId="0" fontId="5" fillId="2" borderId="10" xfId="0" applyFont="1" applyFill="1" applyBorder="1" applyAlignment="1" applyProtection="1">
      <alignment horizontal="left" vertical="center" indent="1"/>
      <protection locked="0"/>
    </xf>
    <xf numFmtId="0" fontId="14" fillId="9" borderId="14" xfId="0" applyFont="1" applyFill="1" applyBorder="1" applyAlignment="1" applyProtection="1">
      <alignment horizontal="right" vertical="center" indent="1"/>
      <protection locked="0"/>
    </xf>
    <xf numFmtId="0" fontId="9" fillId="10" borderId="0" xfId="0" applyFont="1" applyFill="1" applyAlignment="1">
      <alignment horizontal="center" vertical="center"/>
    </xf>
    <xf numFmtId="0" fontId="14" fillId="11" borderId="15" xfId="0" applyFont="1" applyFill="1" applyBorder="1" applyAlignment="1" applyProtection="1">
      <alignment horizontal="right" vertical="center" indent="1"/>
      <protection locked="0"/>
    </xf>
    <xf numFmtId="164" fontId="14" fillId="11" borderId="15" xfId="0" applyNumberFormat="1" applyFont="1" applyFill="1" applyBorder="1" applyAlignment="1" applyProtection="1">
      <alignment horizontal="left" vertical="center" indent="1"/>
      <protection locked="0"/>
    </xf>
    <xf numFmtId="0" fontId="14" fillId="12" borderId="17" xfId="0" applyFont="1" applyFill="1" applyBorder="1" applyAlignment="1" applyProtection="1">
      <alignment horizontal="right" vertical="center" indent="1"/>
      <protection locked="0"/>
    </xf>
    <xf numFmtId="0" fontId="14" fillId="12" borderId="18" xfId="0" applyFont="1" applyFill="1" applyBorder="1" applyAlignment="1" applyProtection="1">
      <alignment horizontal="right" vertical="center" indent="1"/>
      <protection locked="0"/>
    </xf>
    <xf numFmtId="164" fontId="14" fillId="12" borderId="17" xfId="0" applyNumberFormat="1" applyFont="1" applyFill="1" applyBorder="1" applyAlignment="1" applyProtection="1">
      <alignment horizontal="left" vertical="center" indent="1"/>
      <protection locked="0"/>
    </xf>
    <xf numFmtId="164" fontId="14" fillId="12" borderId="18" xfId="0" applyNumberFormat="1" applyFont="1" applyFill="1" applyBorder="1" applyAlignment="1" applyProtection="1">
      <alignment horizontal="left" vertical="center" indent="1"/>
      <protection locked="0"/>
    </xf>
    <xf numFmtId="164" fontId="14" fillId="13" borderId="18" xfId="0" applyNumberFormat="1" applyFont="1" applyFill="1" applyBorder="1" applyAlignment="1" applyProtection="1">
      <alignment horizontal="left" vertical="center" indent="1"/>
      <protection locked="0"/>
    </xf>
    <xf numFmtId="0" fontId="14" fillId="13" borderId="18" xfId="0" applyFont="1" applyFill="1" applyBorder="1" applyAlignment="1" applyProtection="1">
      <alignment horizontal="right" vertical="center" indent="1"/>
      <protection locked="0"/>
    </xf>
    <xf numFmtId="0" fontId="9" fillId="10" borderId="13" xfId="0" applyFont="1" applyFill="1" applyBorder="1" applyAlignment="1">
      <alignment horizontal="center" vertical="center"/>
    </xf>
    <xf numFmtId="164" fontId="14" fillId="11" borderId="13" xfId="0" applyNumberFormat="1" applyFont="1" applyFill="1" applyBorder="1" applyAlignment="1" applyProtection="1">
      <alignment horizontal="left" vertical="center" indent="1"/>
      <protection locked="0"/>
    </xf>
    <xf numFmtId="0" fontId="14" fillId="11" borderId="13" xfId="0" applyFont="1" applyFill="1" applyBorder="1" applyAlignment="1" applyProtection="1">
      <alignment horizontal="right" vertical="center" indent="1"/>
      <protection locked="0"/>
    </xf>
    <xf numFmtId="0" fontId="16" fillId="0" borderId="0" xfId="0" applyFont="1"/>
    <xf numFmtId="0" fontId="17" fillId="0" borderId="0" xfId="0" applyFont="1"/>
    <xf numFmtId="0" fontId="0" fillId="0" borderId="13" xfId="0" applyBorder="1"/>
    <xf numFmtId="0" fontId="14" fillId="11" borderId="13" xfId="0" applyFont="1" applyFill="1" applyBorder="1" applyAlignment="1" applyProtection="1">
      <alignment vertical="center"/>
      <protection locked="0"/>
    </xf>
    <xf numFmtId="0" fontId="9" fillId="14" borderId="13" xfId="0" applyFont="1" applyFill="1" applyBorder="1" applyAlignment="1">
      <alignment horizontal="center" vertical="center"/>
    </xf>
    <xf numFmtId="0" fontId="0" fillId="15" borderId="13" xfId="0" applyFill="1" applyBorder="1"/>
    <xf numFmtId="0" fontId="3" fillId="2" borderId="0" xfId="0" applyFont="1" applyFill="1" applyAlignment="1">
      <alignment horizontal="left"/>
    </xf>
    <xf numFmtId="0" fontId="5" fillId="3" borderId="0" xfId="0" applyFont="1" applyFill="1" applyAlignment="1">
      <alignment horizontal="left" vertical="center" indent="1"/>
    </xf>
    <xf numFmtId="0" fontId="5" fillId="6" borderId="0" xfId="0" applyFont="1" applyFill="1" applyAlignment="1" applyProtection="1">
      <alignment horizontal="left" vertical="center" indent="1"/>
      <protection locked="0"/>
    </xf>
    <xf numFmtId="0" fontId="4" fillId="7" borderId="0" xfId="0" applyFont="1" applyFill="1" applyAlignment="1">
      <alignment horizontal="left" vertical="center" indent="1"/>
    </xf>
    <xf numFmtId="0" fontId="13" fillId="8" borderId="11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vertical="top" wrapText="1" indent="1"/>
    </xf>
    <xf numFmtId="0" fontId="15" fillId="2" borderId="0" xfId="0" applyFont="1" applyFill="1" applyAlignment="1">
      <alignment horizontal="left" indent="1"/>
    </xf>
    <xf numFmtId="0" fontId="15" fillId="2" borderId="16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7" borderId="0" xfId="0" applyFont="1" applyFill="1" applyAlignment="1" applyProtection="1">
      <alignment horizontal="left" indent="1"/>
      <protection locked="0"/>
    </xf>
    <xf numFmtId="0" fontId="7" fillId="7" borderId="0" xfId="0" applyFont="1" applyFill="1" applyAlignment="1" applyProtection="1">
      <alignment horizontal="left" vertical="top" wrapText="1" indent="1"/>
      <protection locked="0"/>
    </xf>
    <xf numFmtId="0" fontId="12" fillId="7" borderId="0" xfId="0" applyFont="1" applyFill="1" applyAlignment="1" applyProtection="1">
      <alignment horizontal="left" vertical="center" wrapText="1" indent="1"/>
      <protection locked="0"/>
    </xf>
    <xf numFmtId="0" fontId="4" fillId="2" borderId="0" xfId="0" applyFont="1" applyFill="1" applyAlignment="1">
      <alignment horizontal="left"/>
    </xf>
    <xf numFmtId="0" fontId="5" fillId="3" borderId="0" xfId="0" applyFont="1" applyFill="1" applyAlignment="1">
      <alignment horizontal="left" vertical="center" indent="1"/>
    </xf>
    <xf numFmtId="0" fontId="6" fillId="2" borderId="0" xfId="0" applyFont="1" applyFill="1" applyAlignment="1" applyProtection="1">
      <alignment horizontal="left" indent="1"/>
      <protection locked="0"/>
    </xf>
    <xf numFmtId="0" fontId="7" fillId="2" borderId="0" xfId="0" applyFont="1" applyFill="1" applyAlignment="1" applyProtection="1">
      <alignment horizontal="left" vertical="top" wrapText="1" indent="1"/>
      <protection locked="0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8" fillId="4" borderId="1" xfId="0" applyFont="1" applyFill="1" applyBorder="1" applyAlignment="1" applyProtection="1">
      <alignment horizontal="left" vertical="center" indent="1"/>
      <protection locked="0"/>
    </xf>
    <xf numFmtId="0" fontId="2" fillId="2" borderId="0" xfId="0" applyFont="1" applyFill="1" applyAlignment="1" applyProtection="1">
      <alignment horizontal="left" indent="1"/>
      <protection locked="0"/>
    </xf>
  </cellXfs>
  <cellStyles count="1">
    <cellStyle name="Normal" xfId="0" builtinId="0"/>
  </cellStyles>
  <dxfs count="27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1" defaultTableStyle="TableStyleMedium2" defaultPivotStyle="PivotStyleLight16">
    <tableStyle name="Invisible" pivot="0" table="0" count="0" xr9:uid="{F75A7FC5-526C-4192-9A34-FDDE4915BF8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6</xdr:row>
          <xdr:rowOff>190500</xdr:rowOff>
        </xdr:from>
        <xdr:to>
          <xdr:col>8</xdr:col>
          <xdr:colOff>1019175</xdr:colOff>
          <xdr:row>8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9525</xdr:rowOff>
        </xdr:from>
        <xdr:to>
          <xdr:col>8</xdr:col>
          <xdr:colOff>1809750</xdr:colOff>
          <xdr:row>4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9</xdr:row>
          <xdr:rowOff>47625</xdr:rowOff>
        </xdr:from>
        <xdr:to>
          <xdr:col>8</xdr:col>
          <xdr:colOff>876300</xdr:colOff>
          <xdr:row>10</xdr:row>
          <xdr:rowOff>142875</xdr:rowOff>
        </xdr:to>
        <xdr:sp macro="" textlink="">
          <xdr:nvSpPr>
            <xdr:cNvPr id="1031" name="Spin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11</xdr:row>
          <xdr:rowOff>238125</xdr:rowOff>
        </xdr:from>
        <xdr:to>
          <xdr:col>9</xdr:col>
          <xdr:colOff>0</xdr:colOff>
          <xdr:row>12</xdr:row>
          <xdr:rowOff>361950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11</xdr:row>
          <xdr:rowOff>228600</xdr:rowOff>
        </xdr:from>
        <xdr:to>
          <xdr:col>11</xdr:col>
          <xdr:colOff>533400</xdr:colOff>
          <xdr:row>13</xdr:row>
          <xdr:rowOff>152400</xdr:rowOff>
        </xdr:to>
        <xdr:sp macro="" textlink="">
          <xdr:nvSpPr>
            <xdr:cNvPr id="1039" name="CommandButton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228600</xdr:rowOff>
        </xdr:from>
        <xdr:to>
          <xdr:col>13</xdr:col>
          <xdr:colOff>371475</xdr:colOff>
          <xdr:row>13</xdr:row>
          <xdr:rowOff>142875</xdr:rowOff>
        </xdr:to>
        <xdr:sp macro="" textlink="">
          <xdr:nvSpPr>
            <xdr:cNvPr id="1043" name="CommandButton5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21</xdr:row>
      <xdr:rowOff>0</xdr:rowOff>
    </xdr:from>
    <xdr:to>
      <xdr:col>12</xdr:col>
      <xdr:colOff>0</xdr:colOff>
      <xdr:row>22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8124825" y="5534025"/>
          <a:ext cx="60960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D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C71ABD-7AF6-475F-A2C1-6DF2680F15A1}" name="TBL_CUR" displayName="TBL_CUR" ref="A4:K5" totalsRowShown="0" headerRowDxfId="25" dataDxfId="24">
  <autoFilter ref="A4:K5" xr:uid="{75C71ABD-7AF6-475F-A2C1-6DF2680F15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B43F5DC1-19F2-42D5-8B71-19693FA45C0F}" name="TIME" dataDxfId="23"/>
    <tableColumn id="2" xr3:uid="{45DCF57C-8FC9-44AC-8DFE-5BC73069278B}" name="CH1" dataDxfId="22"/>
    <tableColumn id="3" xr3:uid="{F15E5687-C7B3-4835-87C1-56B1BF302B98}" name="CH2" dataDxfId="21"/>
    <tableColumn id="4" xr3:uid="{44384BBD-89F8-4109-9430-23A23ECD25C1}" name="CH3" dataDxfId="20"/>
    <tableColumn id="5" xr3:uid="{7AA54E78-8004-47C7-ABD9-74B099F85A62}" name="CH4" dataDxfId="19"/>
    <tableColumn id="6" xr3:uid="{6CF5BE56-8629-4572-B504-7420B30BF80A}" name="CH5" dataDxfId="18"/>
    <tableColumn id="7" xr3:uid="{4BCF5DB6-02F5-4E9B-A108-75C3E30DEAB7}" name="CH6" dataDxfId="17"/>
    <tableColumn id="8" xr3:uid="{5C409DFE-5A18-4EBF-9D24-74EE951CC4EA}" name="CH7" dataDxfId="16"/>
    <tableColumn id="9" xr3:uid="{2DAFF137-AF11-4E0C-8350-92185E3A0C93}" name="CH8" dataDxfId="15"/>
    <tableColumn id="10" xr3:uid="{C75779BB-F3B4-44A9-BAE7-107D322AF1CD}" name="CH9" dataDxfId="14"/>
    <tableColumn id="11" xr3:uid="{BF164EA6-C256-4495-AD7F-B11B2AF8FB3B}" name="CH10" dataDxfId="13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AF5ED5-CF0C-4649-8CDA-6F26BA3FFC92}" name="TBL_HST" displayName="TBL_HST" ref="A7:K22" totalsRowShown="0" headerRowDxfId="12" dataDxfId="11">
  <autoFilter ref="A7:K22" xr:uid="{98AF5ED5-CF0C-4649-8CDA-6F26BA3FFC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98EC3B66-F795-468B-BA3B-D9698C42F825}" name="TIME" dataDxfId="10"/>
    <tableColumn id="2" xr3:uid="{8B6FF73D-7ABA-40B0-967D-36C7FBE4C4C6}" name="CH1" dataDxfId="9"/>
    <tableColumn id="3" xr3:uid="{B4C65D14-D9F8-453C-904E-71E2968EC53F}" name="CH2" dataDxfId="8"/>
    <tableColumn id="4" xr3:uid="{70E0386B-B0B1-4B22-BA48-4BE8EF661467}" name="CH3" dataDxfId="7"/>
    <tableColumn id="5" xr3:uid="{CB626279-0CF0-48B8-A194-6981B3B38876}" name="CH4" dataDxfId="6"/>
    <tableColumn id="6" xr3:uid="{7D2D25DC-8E36-4CA5-A076-4FDD5C0F6961}" name="CH5" dataDxfId="5"/>
    <tableColumn id="7" xr3:uid="{BA2C056F-76C7-4573-AA33-8DA0048EFA5B}" name="CH6" dataDxfId="4"/>
    <tableColumn id="8" xr3:uid="{E90A5A85-89F7-4497-9D4D-50AF4996AFBB}" name="CH7" dataDxfId="3"/>
    <tableColumn id="9" xr3:uid="{0599198D-656A-4221-9C6F-DE6EA56AB2B3}" name="CH8" dataDxfId="2"/>
    <tableColumn id="10" xr3:uid="{59149CC9-8ABD-4924-8F1F-311268A6D990}" name="CH9" dataDxfId="1"/>
    <tableColumn id="11" xr3:uid="{6D6E2DCD-6C92-4AE9-8702-9AB516D26F89}" name="CH10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BBC66-52AC-49E7-BCA7-A7B75897ADFE}">
  <sheetPr codeName="Sheet1"/>
  <dimension ref="A2:I114"/>
  <sheetViews>
    <sheetView showGridLines="0" tabSelected="1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 activeCell="C11" sqref="C11"/>
    </sheetView>
  </sheetViews>
  <sheetFormatPr defaultRowHeight="15" x14ac:dyDescent="0.25"/>
  <cols>
    <col min="1" max="1" width="4.42578125" customWidth="1"/>
    <col min="2" max="8" width="16" customWidth="1"/>
    <col min="9" max="9" width="27.5703125" customWidth="1"/>
  </cols>
  <sheetData>
    <row r="2" spans="1:9" ht="18.75" x14ac:dyDescent="0.3">
      <c r="B2" s="29" t="s">
        <v>35</v>
      </c>
    </row>
    <row r="3" spans="1:9" x14ac:dyDescent="0.25">
      <c r="B3" s="25" t="s">
        <v>42</v>
      </c>
      <c r="C3" s="25" t="s">
        <v>36</v>
      </c>
      <c r="D3" s="25" t="s">
        <v>37</v>
      </c>
      <c r="E3" s="25" t="s">
        <v>38</v>
      </c>
      <c r="F3" s="25" t="s">
        <v>39</v>
      </c>
      <c r="G3" s="25" t="s">
        <v>40</v>
      </c>
      <c r="H3" s="25" t="s">
        <v>41</v>
      </c>
    </row>
    <row r="4" spans="1:9" ht="16.5" x14ac:dyDescent="0.25">
      <c r="B4" s="26">
        <f>TBL_CUR[TIME]</f>
        <v>45213.420346018516</v>
      </c>
      <c r="C4" s="27">
        <f>TBL_CUR[CH1]</f>
        <v>238</v>
      </c>
      <c r="D4" s="27">
        <f>TBL_CUR[CH2]</f>
        <v>298</v>
      </c>
      <c r="E4" s="27">
        <f>TBL_CUR[CH3]</f>
        <v>188</v>
      </c>
      <c r="F4" s="27">
        <f>TBL_CUR[CH4]</f>
        <v>274</v>
      </c>
      <c r="G4" s="27">
        <f>TBL_CUR[CH5]</f>
        <v>184</v>
      </c>
      <c r="H4" s="27">
        <f>TBL_CUR[CH6]</f>
        <v>170</v>
      </c>
    </row>
    <row r="7" spans="1:9" ht="15.75" x14ac:dyDescent="0.25">
      <c r="A7" s="28" t="s">
        <v>56</v>
      </c>
    </row>
    <row r="8" spans="1:9" x14ac:dyDescent="0.25">
      <c r="A8" s="25" t="s">
        <v>44</v>
      </c>
      <c r="B8" s="25" t="s">
        <v>36</v>
      </c>
      <c r="C8" s="25" t="s">
        <v>37</v>
      </c>
      <c r="D8" s="25" t="s">
        <v>38</v>
      </c>
      <c r="E8" s="25" t="s">
        <v>39</v>
      </c>
      <c r="F8" s="25" t="s">
        <v>40</v>
      </c>
      <c r="G8" s="25" t="s">
        <v>41</v>
      </c>
      <c r="H8" s="25" t="s">
        <v>45</v>
      </c>
    </row>
    <row r="9" spans="1:9" ht="16.5" x14ac:dyDescent="0.25">
      <c r="A9" s="30">
        <v>4</v>
      </c>
      <c r="B9" s="27">
        <f>VLOOKUP($A$9,$A$15:$H$114,2,FALSE)</f>
        <v>238</v>
      </c>
      <c r="C9" s="27">
        <f>VLOOKUP($A$9,$A$15:$H$114,3,FALSE)</f>
        <v>298</v>
      </c>
      <c r="D9" s="27">
        <f>VLOOKUP($A$9,$A$15:$H$114,4,FALSE)</f>
        <v>188</v>
      </c>
      <c r="E9" s="27">
        <f>VLOOKUP($A$9,$A$15:$H$114,5,FALSE)</f>
        <v>274</v>
      </c>
      <c r="F9" s="27">
        <f>VLOOKUP($A$9,$A$15:$H$114,6,FALSE)</f>
        <v>184</v>
      </c>
      <c r="G9" s="27">
        <f>VLOOKUP($A$9,$A$15:$H$114,7,FALSE)</f>
        <v>170</v>
      </c>
      <c r="H9" s="27" t="str">
        <f>VLOOKUP($A$9,$A$15:$H$114,8,FALSE)</f>
        <v>Normal</v>
      </c>
    </row>
    <row r="12" spans="1:9" ht="21" customHeight="1" x14ac:dyDescent="0.25"/>
    <row r="13" spans="1:9" ht="33" customHeight="1" x14ac:dyDescent="0.25">
      <c r="A13" s="28" t="s">
        <v>43</v>
      </c>
    </row>
    <row r="14" spans="1:9" x14ac:dyDescent="0.25">
      <c r="A14" s="25" t="s">
        <v>44</v>
      </c>
      <c r="B14" s="25" t="s">
        <v>36</v>
      </c>
      <c r="C14" s="25" t="s">
        <v>37</v>
      </c>
      <c r="D14" s="25" t="s">
        <v>38</v>
      </c>
      <c r="E14" s="25" t="s">
        <v>39</v>
      </c>
      <c r="F14" s="25" t="s">
        <v>40</v>
      </c>
      <c r="G14" s="25" t="s">
        <v>41</v>
      </c>
      <c r="H14" s="25" t="s">
        <v>45</v>
      </c>
      <c r="I14" s="25" t="s">
        <v>48</v>
      </c>
    </row>
    <row r="15" spans="1:9" ht="16.5" x14ac:dyDescent="0.25">
      <c r="A15" s="30">
        <f>IF(B15&lt;&gt;"",1,"")</f>
        <v>1</v>
      </c>
      <c r="B15" s="27">
        <v>238</v>
      </c>
      <c r="C15" s="27">
        <v>192</v>
      </c>
      <c r="D15" s="27">
        <v>252</v>
      </c>
      <c r="E15" s="27">
        <v>420</v>
      </c>
      <c r="F15" s="27">
        <v>184</v>
      </c>
      <c r="G15" s="27">
        <v>170</v>
      </c>
      <c r="H15" s="27" t="s">
        <v>50</v>
      </c>
      <c r="I15" s="31" t="s">
        <v>86</v>
      </c>
    </row>
    <row r="16" spans="1:9" ht="16.5" x14ac:dyDescent="0.25">
      <c r="A16" s="30">
        <f>IF(B16&lt;&gt;"",A15+1,"")</f>
        <v>2</v>
      </c>
      <c r="B16" s="27">
        <v>238</v>
      </c>
      <c r="C16" s="27">
        <v>238</v>
      </c>
      <c r="D16" s="27">
        <v>54</v>
      </c>
      <c r="E16" s="27">
        <v>198</v>
      </c>
      <c r="F16" s="27">
        <v>184</v>
      </c>
      <c r="G16" s="27">
        <v>170</v>
      </c>
      <c r="H16" s="27" t="s">
        <v>50</v>
      </c>
      <c r="I16" s="31"/>
    </row>
    <row r="17" spans="1:9" ht="16.5" x14ac:dyDescent="0.25">
      <c r="A17" s="30">
        <f t="shared" ref="A17:A44" si="0">IF(B17&lt;&gt;"",A16+1,"")</f>
        <v>3</v>
      </c>
      <c r="B17" s="27">
        <v>238</v>
      </c>
      <c r="C17" s="27">
        <v>298</v>
      </c>
      <c r="D17" s="27">
        <v>54</v>
      </c>
      <c r="E17" s="27">
        <v>130</v>
      </c>
      <c r="F17" s="27">
        <v>184</v>
      </c>
      <c r="G17" s="27">
        <v>170</v>
      </c>
      <c r="H17" s="27" t="s">
        <v>50</v>
      </c>
      <c r="I17" s="31"/>
    </row>
    <row r="18" spans="1:9" ht="16.5" x14ac:dyDescent="0.25">
      <c r="A18" s="30">
        <f t="shared" si="0"/>
        <v>4</v>
      </c>
      <c r="B18" s="27">
        <v>238</v>
      </c>
      <c r="C18" s="27">
        <v>298</v>
      </c>
      <c r="D18" s="27">
        <v>188</v>
      </c>
      <c r="E18" s="27">
        <v>274</v>
      </c>
      <c r="F18" s="27">
        <v>184</v>
      </c>
      <c r="G18" s="27">
        <v>170</v>
      </c>
      <c r="H18" s="27" t="s">
        <v>50</v>
      </c>
      <c r="I18" s="31"/>
    </row>
    <row r="19" spans="1:9" ht="16.5" x14ac:dyDescent="0.25">
      <c r="A19" s="30">
        <f t="shared" si="0"/>
        <v>5</v>
      </c>
      <c r="B19" s="27">
        <v>238</v>
      </c>
      <c r="C19" s="27">
        <v>248</v>
      </c>
      <c r="D19" s="27">
        <v>20</v>
      </c>
      <c r="E19" s="27">
        <v>150</v>
      </c>
      <c r="F19" s="27">
        <v>184</v>
      </c>
      <c r="G19" s="27">
        <v>170</v>
      </c>
      <c r="H19" s="27" t="s">
        <v>50</v>
      </c>
      <c r="I19" s="31"/>
    </row>
    <row r="20" spans="1:9" ht="16.5" x14ac:dyDescent="0.25">
      <c r="A20" s="30" t="str">
        <f t="shared" si="0"/>
        <v/>
      </c>
      <c r="B20" s="27"/>
      <c r="C20" s="27"/>
      <c r="D20" s="27"/>
      <c r="E20" s="27"/>
      <c r="F20" s="27"/>
      <c r="G20" s="27"/>
      <c r="H20" s="27"/>
      <c r="I20" s="31"/>
    </row>
    <row r="21" spans="1:9" ht="16.5" x14ac:dyDescent="0.25">
      <c r="A21" s="30" t="str">
        <f t="shared" si="0"/>
        <v/>
      </c>
      <c r="B21" s="27"/>
      <c r="C21" s="27"/>
      <c r="D21" s="27"/>
      <c r="E21" s="27"/>
      <c r="F21" s="27"/>
      <c r="G21" s="27"/>
      <c r="H21" s="27"/>
      <c r="I21" s="31"/>
    </row>
    <row r="22" spans="1:9" ht="16.5" x14ac:dyDescent="0.25">
      <c r="A22" s="30" t="str">
        <f t="shared" si="0"/>
        <v/>
      </c>
      <c r="B22" s="27"/>
      <c r="C22" s="27"/>
      <c r="D22" s="27"/>
      <c r="E22" s="27"/>
      <c r="F22" s="27"/>
      <c r="G22" s="27"/>
      <c r="H22" s="27"/>
      <c r="I22" s="31"/>
    </row>
    <row r="23" spans="1:9" ht="16.5" x14ac:dyDescent="0.25">
      <c r="A23" s="30" t="str">
        <f t="shared" si="0"/>
        <v/>
      </c>
      <c r="B23" s="27"/>
      <c r="C23" s="27"/>
      <c r="D23" s="27"/>
      <c r="E23" s="27"/>
      <c r="F23" s="27"/>
      <c r="G23" s="27"/>
      <c r="H23" s="27"/>
      <c r="I23" s="31"/>
    </row>
    <row r="24" spans="1:9" ht="16.5" x14ac:dyDescent="0.25">
      <c r="A24" s="30" t="str">
        <f t="shared" si="0"/>
        <v/>
      </c>
      <c r="B24" s="27"/>
      <c r="C24" s="27"/>
      <c r="D24" s="27"/>
      <c r="E24" s="27"/>
      <c r="F24" s="27"/>
      <c r="G24" s="27"/>
      <c r="H24" s="27"/>
      <c r="I24" s="31"/>
    </row>
    <row r="25" spans="1:9" ht="16.5" x14ac:dyDescent="0.25">
      <c r="A25" s="30" t="str">
        <f t="shared" si="0"/>
        <v/>
      </c>
      <c r="B25" s="27"/>
      <c r="C25" s="27"/>
      <c r="D25" s="27"/>
      <c r="E25" s="27"/>
      <c r="F25" s="27"/>
      <c r="G25" s="27"/>
      <c r="H25" s="27"/>
      <c r="I25" s="31"/>
    </row>
    <row r="26" spans="1:9" ht="16.5" x14ac:dyDescent="0.25">
      <c r="A26" s="30" t="str">
        <f t="shared" si="0"/>
        <v/>
      </c>
      <c r="B26" s="27"/>
      <c r="C26" s="27"/>
      <c r="D26" s="27"/>
      <c r="E26" s="27"/>
      <c r="F26" s="27"/>
      <c r="G26" s="27"/>
      <c r="H26" s="27"/>
      <c r="I26" s="31"/>
    </row>
    <row r="27" spans="1:9" ht="16.5" x14ac:dyDescent="0.25">
      <c r="A27" s="30" t="str">
        <f t="shared" si="0"/>
        <v/>
      </c>
      <c r="B27" s="27"/>
      <c r="C27" s="27"/>
      <c r="D27" s="27"/>
      <c r="E27" s="27"/>
      <c r="F27" s="27"/>
      <c r="G27" s="27"/>
      <c r="H27" s="27"/>
      <c r="I27" s="31"/>
    </row>
    <row r="28" spans="1:9" ht="16.5" x14ac:dyDescent="0.25">
      <c r="A28" s="30" t="str">
        <f t="shared" si="0"/>
        <v/>
      </c>
      <c r="B28" s="27"/>
      <c r="C28" s="27"/>
      <c r="D28" s="27"/>
      <c r="E28" s="27"/>
      <c r="F28" s="27"/>
      <c r="G28" s="27"/>
      <c r="H28" s="27"/>
      <c r="I28" s="31"/>
    </row>
    <row r="29" spans="1:9" ht="16.5" x14ac:dyDescent="0.25">
      <c r="A29" s="30" t="str">
        <f t="shared" si="0"/>
        <v/>
      </c>
      <c r="B29" s="27"/>
      <c r="C29" s="27"/>
      <c r="D29" s="27"/>
      <c r="E29" s="27"/>
      <c r="F29" s="27"/>
      <c r="G29" s="27"/>
      <c r="H29" s="27"/>
      <c r="I29" s="31"/>
    </row>
    <row r="30" spans="1:9" ht="16.5" x14ac:dyDescent="0.25">
      <c r="A30" s="30" t="str">
        <f t="shared" si="0"/>
        <v/>
      </c>
      <c r="B30" s="27"/>
      <c r="C30" s="27"/>
      <c r="D30" s="27"/>
      <c r="E30" s="27"/>
      <c r="F30" s="27"/>
      <c r="G30" s="27"/>
      <c r="H30" s="27"/>
      <c r="I30" s="31"/>
    </row>
    <row r="31" spans="1:9" ht="16.5" x14ac:dyDescent="0.25">
      <c r="A31" s="30" t="str">
        <f t="shared" si="0"/>
        <v/>
      </c>
      <c r="B31" s="27"/>
      <c r="C31" s="27"/>
      <c r="D31" s="27"/>
      <c r="E31" s="27"/>
      <c r="F31" s="27"/>
      <c r="G31" s="27"/>
      <c r="H31" s="27"/>
      <c r="I31" s="31"/>
    </row>
    <row r="32" spans="1:9" ht="16.5" x14ac:dyDescent="0.25">
      <c r="A32" s="30" t="str">
        <f t="shared" si="0"/>
        <v/>
      </c>
      <c r="B32" s="27"/>
      <c r="C32" s="27"/>
      <c r="D32" s="27"/>
      <c r="E32" s="27"/>
      <c r="F32" s="27"/>
      <c r="G32" s="27"/>
      <c r="H32" s="27"/>
      <c r="I32" s="31"/>
    </row>
    <row r="33" spans="1:9" ht="16.5" x14ac:dyDescent="0.25">
      <c r="A33" s="30" t="str">
        <f t="shared" si="0"/>
        <v/>
      </c>
      <c r="B33" s="27"/>
      <c r="C33" s="27"/>
      <c r="D33" s="27"/>
      <c r="E33" s="27"/>
      <c r="F33" s="27"/>
      <c r="G33" s="27"/>
      <c r="H33" s="27"/>
      <c r="I33" s="31"/>
    </row>
    <row r="34" spans="1:9" ht="16.5" x14ac:dyDescent="0.25">
      <c r="A34" s="30" t="str">
        <f t="shared" si="0"/>
        <v/>
      </c>
      <c r="B34" s="27"/>
      <c r="C34" s="27"/>
      <c r="D34" s="27"/>
      <c r="E34" s="27"/>
      <c r="F34" s="27"/>
      <c r="G34" s="27"/>
      <c r="H34" s="27"/>
      <c r="I34" s="31"/>
    </row>
    <row r="35" spans="1:9" ht="16.5" x14ac:dyDescent="0.25">
      <c r="A35" s="30" t="str">
        <f t="shared" si="0"/>
        <v/>
      </c>
      <c r="B35" s="27"/>
      <c r="C35" s="27"/>
      <c r="D35" s="27"/>
      <c r="E35" s="27"/>
      <c r="F35" s="27"/>
      <c r="G35" s="27"/>
      <c r="H35" s="27"/>
      <c r="I35" s="31"/>
    </row>
    <row r="36" spans="1:9" ht="16.5" x14ac:dyDescent="0.25">
      <c r="A36" s="30" t="str">
        <f t="shared" si="0"/>
        <v/>
      </c>
      <c r="B36" s="27"/>
      <c r="C36" s="27"/>
      <c r="D36" s="27"/>
      <c r="E36" s="27"/>
      <c r="F36" s="27"/>
      <c r="G36" s="27"/>
      <c r="H36" s="27"/>
      <c r="I36" s="31"/>
    </row>
    <row r="37" spans="1:9" ht="16.5" x14ac:dyDescent="0.25">
      <c r="A37" s="30" t="str">
        <f t="shared" si="0"/>
        <v/>
      </c>
      <c r="B37" s="27"/>
      <c r="C37" s="27"/>
      <c r="D37" s="27"/>
      <c r="E37" s="27"/>
      <c r="F37" s="27"/>
      <c r="G37" s="27"/>
      <c r="H37" s="27"/>
      <c r="I37" s="31"/>
    </row>
    <row r="38" spans="1:9" ht="16.5" x14ac:dyDescent="0.25">
      <c r="A38" s="30" t="str">
        <f t="shared" si="0"/>
        <v/>
      </c>
      <c r="B38" s="27"/>
      <c r="C38" s="27"/>
      <c r="D38" s="27"/>
      <c r="E38" s="27"/>
      <c r="F38" s="27"/>
      <c r="G38" s="27"/>
      <c r="H38" s="27"/>
      <c r="I38" s="31"/>
    </row>
    <row r="39" spans="1:9" ht="16.5" x14ac:dyDescent="0.25">
      <c r="A39" s="30" t="str">
        <f t="shared" si="0"/>
        <v/>
      </c>
      <c r="B39" s="27"/>
      <c r="C39" s="27"/>
      <c r="D39" s="27"/>
      <c r="E39" s="27"/>
      <c r="F39" s="27"/>
      <c r="G39" s="27"/>
      <c r="H39" s="27"/>
      <c r="I39" s="31"/>
    </row>
    <row r="40" spans="1:9" ht="16.5" x14ac:dyDescent="0.25">
      <c r="A40" s="30" t="str">
        <f t="shared" si="0"/>
        <v/>
      </c>
      <c r="B40" s="27"/>
      <c r="C40" s="27"/>
      <c r="D40" s="27"/>
      <c r="E40" s="27"/>
      <c r="F40" s="27"/>
      <c r="G40" s="27"/>
      <c r="H40" s="27"/>
      <c r="I40" s="31"/>
    </row>
    <row r="41" spans="1:9" ht="16.5" x14ac:dyDescent="0.25">
      <c r="A41" s="30" t="str">
        <f t="shared" si="0"/>
        <v/>
      </c>
      <c r="B41" s="27"/>
      <c r="C41" s="27"/>
      <c r="D41" s="27"/>
      <c r="E41" s="27"/>
      <c r="F41" s="27"/>
      <c r="G41" s="27"/>
      <c r="H41" s="27"/>
      <c r="I41" s="31"/>
    </row>
    <row r="42" spans="1:9" ht="16.5" x14ac:dyDescent="0.25">
      <c r="A42" s="30" t="str">
        <f t="shared" si="0"/>
        <v/>
      </c>
      <c r="B42" s="27"/>
      <c r="C42" s="27"/>
      <c r="D42" s="27"/>
      <c r="E42" s="27"/>
      <c r="F42" s="27"/>
      <c r="G42" s="27"/>
      <c r="H42" s="27"/>
      <c r="I42" s="31"/>
    </row>
    <row r="43" spans="1:9" ht="16.5" x14ac:dyDescent="0.25">
      <c r="A43" s="30" t="str">
        <f t="shared" si="0"/>
        <v/>
      </c>
      <c r="B43" s="27"/>
      <c r="C43" s="27"/>
      <c r="D43" s="27"/>
      <c r="E43" s="27"/>
      <c r="F43" s="27"/>
      <c r="G43" s="27"/>
      <c r="H43" s="27"/>
      <c r="I43" s="31"/>
    </row>
    <row r="44" spans="1:9" ht="16.5" x14ac:dyDescent="0.25">
      <c r="A44" s="30" t="str">
        <f t="shared" si="0"/>
        <v/>
      </c>
      <c r="B44" s="27"/>
      <c r="C44" s="27"/>
      <c r="D44" s="27"/>
      <c r="E44" s="27"/>
      <c r="F44" s="27"/>
      <c r="G44" s="27"/>
      <c r="H44" s="27"/>
      <c r="I44" s="31"/>
    </row>
    <row r="45" spans="1:9" ht="16.5" x14ac:dyDescent="0.25">
      <c r="A45" s="30" t="str">
        <f t="shared" ref="A45:A54" si="1">IF(B45&lt;&gt;"",A44+1,"")</f>
        <v/>
      </c>
      <c r="B45" s="27"/>
      <c r="C45" s="27"/>
      <c r="D45" s="27"/>
      <c r="E45" s="27"/>
      <c r="F45" s="27"/>
      <c r="G45" s="27"/>
      <c r="H45" s="27"/>
      <c r="I45" s="31"/>
    </row>
    <row r="46" spans="1:9" ht="16.5" x14ac:dyDescent="0.25">
      <c r="A46" s="30" t="str">
        <f t="shared" si="1"/>
        <v/>
      </c>
      <c r="B46" s="27"/>
      <c r="C46" s="27"/>
      <c r="D46" s="27"/>
      <c r="E46" s="27"/>
      <c r="F46" s="27"/>
      <c r="G46" s="27"/>
      <c r="H46" s="27"/>
      <c r="I46" s="31"/>
    </row>
    <row r="47" spans="1:9" ht="16.5" x14ac:dyDescent="0.25">
      <c r="A47" s="30" t="str">
        <f t="shared" si="1"/>
        <v/>
      </c>
      <c r="B47" s="27"/>
      <c r="C47" s="27"/>
      <c r="D47" s="27"/>
      <c r="E47" s="27"/>
      <c r="F47" s="27"/>
      <c r="G47" s="27"/>
      <c r="H47" s="27"/>
      <c r="I47" s="31"/>
    </row>
    <row r="48" spans="1:9" ht="16.5" x14ac:dyDescent="0.25">
      <c r="A48" s="30" t="str">
        <f t="shared" si="1"/>
        <v/>
      </c>
      <c r="B48" s="27"/>
      <c r="C48" s="27"/>
      <c r="D48" s="27"/>
      <c r="E48" s="27"/>
      <c r="F48" s="27"/>
      <c r="G48" s="27"/>
      <c r="H48" s="27"/>
      <c r="I48" s="31"/>
    </row>
    <row r="49" spans="1:9" ht="16.5" x14ac:dyDescent="0.25">
      <c r="A49" s="30" t="str">
        <f t="shared" si="1"/>
        <v/>
      </c>
      <c r="B49" s="27"/>
      <c r="C49" s="27"/>
      <c r="D49" s="27"/>
      <c r="E49" s="27"/>
      <c r="F49" s="27"/>
      <c r="G49" s="27"/>
      <c r="H49" s="27"/>
      <c r="I49" s="31"/>
    </row>
    <row r="50" spans="1:9" ht="16.5" x14ac:dyDescent="0.25">
      <c r="A50" s="30" t="str">
        <f t="shared" si="1"/>
        <v/>
      </c>
      <c r="B50" s="27"/>
      <c r="C50" s="27"/>
      <c r="D50" s="27"/>
      <c r="E50" s="27"/>
      <c r="F50" s="27"/>
      <c r="G50" s="27"/>
      <c r="H50" s="27"/>
      <c r="I50" s="31"/>
    </row>
    <row r="51" spans="1:9" ht="16.5" x14ac:dyDescent="0.25">
      <c r="A51" s="30" t="str">
        <f t="shared" si="1"/>
        <v/>
      </c>
      <c r="B51" s="27"/>
      <c r="C51" s="27"/>
      <c r="D51" s="27"/>
      <c r="E51" s="27"/>
      <c r="F51" s="27"/>
      <c r="G51" s="27"/>
      <c r="H51" s="27"/>
      <c r="I51" s="31"/>
    </row>
    <row r="52" spans="1:9" ht="16.5" x14ac:dyDescent="0.25">
      <c r="A52" s="30" t="str">
        <f t="shared" si="1"/>
        <v/>
      </c>
      <c r="B52" s="27"/>
      <c r="C52" s="27"/>
      <c r="D52" s="27"/>
      <c r="E52" s="27"/>
      <c r="F52" s="27"/>
      <c r="G52" s="27"/>
      <c r="H52" s="27"/>
      <c r="I52" s="31"/>
    </row>
    <row r="53" spans="1:9" ht="16.5" x14ac:dyDescent="0.25">
      <c r="A53" s="30" t="str">
        <f t="shared" si="1"/>
        <v/>
      </c>
      <c r="B53" s="27"/>
      <c r="C53" s="27"/>
      <c r="D53" s="27"/>
      <c r="E53" s="27"/>
      <c r="F53" s="27"/>
      <c r="G53" s="27"/>
      <c r="H53" s="27"/>
      <c r="I53" s="31"/>
    </row>
    <row r="54" spans="1:9" ht="16.5" x14ac:dyDescent="0.25">
      <c r="A54" s="30" t="str">
        <f t="shared" si="1"/>
        <v/>
      </c>
      <c r="B54" s="27"/>
      <c r="C54" s="27"/>
      <c r="D54" s="27"/>
      <c r="E54" s="27"/>
      <c r="F54" s="27"/>
      <c r="G54" s="27"/>
      <c r="H54" s="27"/>
      <c r="I54" s="31"/>
    </row>
    <row r="55" spans="1:9" ht="16.5" x14ac:dyDescent="0.25">
      <c r="A55" s="30" t="str">
        <f t="shared" ref="A55:A113" si="2">IF(B55&lt;&gt;"",A54+1,"")</f>
        <v/>
      </c>
      <c r="B55" s="27"/>
      <c r="C55" s="27"/>
      <c r="D55" s="27"/>
      <c r="E55" s="27"/>
      <c r="F55" s="27"/>
      <c r="G55" s="27"/>
      <c r="H55" s="27"/>
      <c r="I55" s="31"/>
    </row>
    <row r="56" spans="1:9" ht="16.5" x14ac:dyDescent="0.25">
      <c r="A56" s="30" t="str">
        <f t="shared" si="2"/>
        <v/>
      </c>
      <c r="B56" s="27"/>
      <c r="C56" s="27"/>
      <c r="D56" s="27"/>
      <c r="E56" s="27"/>
      <c r="F56" s="27"/>
      <c r="G56" s="27"/>
      <c r="H56" s="27"/>
      <c r="I56" s="31"/>
    </row>
    <row r="57" spans="1:9" ht="16.5" x14ac:dyDescent="0.25">
      <c r="A57" s="30" t="str">
        <f t="shared" si="2"/>
        <v/>
      </c>
      <c r="B57" s="27"/>
      <c r="C57" s="27"/>
      <c r="D57" s="27"/>
      <c r="E57" s="27"/>
      <c r="F57" s="27"/>
      <c r="G57" s="27"/>
      <c r="H57" s="27"/>
      <c r="I57" s="31"/>
    </row>
    <row r="58" spans="1:9" ht="16.5" x14ac:dyDescent="0.25">
      <c r="A58" s="30" t="str">
        <f t="shared" si="2"/>
        <v/>
      </c>
      <c r="B58" s="27"/>
      <c r="C58" s="27"/>
      <c r="D58" s="27"/>
      <c r="E58" s="27"/>
      <c r="F58" s="27"/>
      <c r="G58" s="27"/>
      <c r="H58" s="27"/>
      <c r="I58" s="31"/>
    </row>
    <row r="59" spans="1:9" ht="16.5" x14ac:dyDescent="0.25">
      <c r="A59" s="30" t="str">
        <f t="shared" si="2"/>
        <v/>
      </c>
      <c r="B59" s="27"/>
      <c r="C59" s="27"/>
      <c r="D59" s="27"/>
      <c r="E59" s="27"/>
      <c r="F59" s="27"/>
      <c r="G59" s="27"/>
      <c r="H59" s="27"/>
      <c r="I59" s="31"/>
    </row>
    <row r="60" spans="1:9" ht="16.5" x14ac:dyDescent="0.25">
      <c r="A60" s="30" t="str">
        <f t="shared" si="2"/>
        <v/>
      </c>
      <c r="B60" s="27"/>
      <c r="C60" s="27"/>
      <c r="D60" s="27"/>
      <c r="E60" s="27"/>
      <c r="F60" s="27"/>
      <c r="G60" s="27"/>
      <c r="H60" s="27"/>
      <c r="I60" s="31"/>
    </row>
    <row r="61" spans="1:9" ht="16.5" x14ac:dyDescent="0.25">
      <c r="A61" s="30" t="str">
        <f t="shared" si="2"/>
        <v/>
      </c>
      <c r="B61" s="27"/>
      <c r="C61" s="27"/>
      <c r="D61" s="27"/>
      <c r="E61" s="27"/>
      <c r="F61" s="27"/>
      <c r="G61" s="27"/>
      <c r="H61" s="27"/>
      <c r="I61" s="31"/>
    </row>
    <row r="62" spans="1:9" ht="16.5" x14ac:dyDescent="0.25">
      <c r="A62" s="30" t="str">
        <f t="shared" si="2"/>
        <v/>
      </c>
      <c r="B62" s="27"/>
      <c r="C62" s="27"/>
      <c r="D62" s="27"/>
      <c r="E62" s="27"/>
      <c r="F62" s="27"/>
      <c r="G62" s="27"/>
      <c r="H62" s="27"/>
      <c r="I62" s="31"/>
    </row>
    <row r="63" spans="1:9" ht="16.5" x14ac:dyDescent="0.25">
      <c r="A63" s="30" t="str">
        <f t="shared" si="2"/>
        <v/>
      </c>
      <c r="B63" s="27"/>
      <c r="C63" s="27"/>
      <c r="D63" s="27"/>
      <c r="E63" s="27"/>
      <c r="F63" s="27"/>
      <c r="G63" s="27"/>
      <c r="H63" s="27"/>
      <c r="I63" s="31"/>
    </row>
    <row r="64" spans="1:9" ht="16.5" x14ac:dyDescent="0.25">
      <c r="A64" s="30" t="str">
        <f t="shared" si="2"/>
        <v/>
      </c>
      <c r="B64" s="27"/>
      <c r="C64" s="27"/>
      <c r="D64" s="27"/>
      <c r="E64" s="27"/>
      <c r="F64" s="27"/>
      <c r="G64" s="27"/>
      <c r="H64" s="27"/>
      <c r="I64" s="31"/>
    </row>
    <row r="65" spans="1:9" ht="16.5" x14ac:dyDescent="0.25">
      <c r="A65" s="30" t="str">
        <f t="shared" si="2"/>
        <v/>
      </c>
      <c r="B65" s="27"/>
      <c r="C65" s="27"/>
      <c r="D65" s="27"/>
      <c r="E65" s="27"/>
      <c r="F65" s="27"/>
      <c r="G65" s="27"/>
      <c r="H65" s="27"/>
      <c r="I65" s="31"/>
    </row>
    <row r="66" spans="1:9" ht="16.5" x14ac:dyDescent="0.25">
      <c r="A66" s="30" t="str">
        <f t="shared" si="2"/>
        <v/>
      </c>
      <c r="B66" s="27"/>
      <c r="C66" s="27"/>
      <c r="D66" s="27"/>
      <c r="E66" s="27"/>
      <c r="F66" s="27"/>
      <c r="G66" s="27"/>
      <c r="H66" s="27"/>
      <c r="I66" s="31"/>
    </row>
    <row r="67" spans="1:9" ht="16.5" x14ac:dyDescent="0.25">
      <c r="A67" s="30" t="str">
        <f t="shared" si="2"/>
        <v/>
      </c>
      <c r="B67" s="27"/>
      <c r="C67" s="27"/>
      <c r="D67" s="27"/>
      <c r="E67" s="27"/>
      <c r="F67" s="27"/>
      <c r="G67" s="27"/>
      <c r="H67" s="27"/>
      <c r="I67" s="31"/>
    </row>
    <row r="68" spans="1:9" ht="16.5" x14ac:dyDescent="0.25">
      <c r="A68" s="30" t="str">
        <f t="shared" si="2"/>
        <v/>
      </c>
      <c r="B68" s="27"/>
      <c r="C68" s="27"/>
      <c r="D68" s="27"/>
      <c r="E68" s="27"/>
      <c r="F68" s="27"/>
      <c r="G68" s="27"/>
      <c r="H68" s="27"/>
      <c r="I68" s="31"/>
    </row>
    <row r="69" spans="1:9" ht="16.5" x14ac:dyDescent="0.25">
      <c r="A69" s="30" t="str">
        <f t="shared" si="2"/>
        <v/>
      </c>
      <c r="B69" s="27"/>
      <c r="C69" s="27"/>
      <c r="D69" s="27"/>
      <c r="E69" s="27"/>
      <c r="F69" s="27"/>
      <c r="G69" s="27"/>
      <c r="H69" s="27"/>
      <c r="I69" s="31"/>
    </row>
    <row r="70" spans="1:9" ht="16.5" x14ac:dyDescent="0.25">
      <c r="A70" s="30" t="str">
        <f t="shared" si="2"/>
        <v/>
      </c>
      <c r="B70" s="27"/>
      <c r="C70" s="27"/>
      <c r="D70" s="27"/>
      <c r="E70" s="27"/>
      <c r="F70" s="27"/>
      <c r="G70" s="27"/>
      <c r="H70" s="27"/>
      <c r="I70" s="31"/>
    </row>
    <row r="71" spans="1:9" ht="16.5" x14ac:dyDescent="0.25">
      <c r="A71" s="30" t="str">
        <f t="shared" si="2"/>
        <v/>
      </c>
      <c r="B71" s="27"/>
      <c r="C71" s="27"/>
      <c r="D71" s="27"/>
      <c r="E71" s="27"/>
      <c r="F71" s="27"/>
      <c r="G71" s="27"/>
      <c r="H71" s="27"/>
      <c r="I71" s="31"/>
    </row>
    <row r="72" spans="1:9" ht="16.5" x14ac:dyDescent="0.25">
      <c r="A72" s="30" t="str">
        <f t="shared" si="2"/>
        <v/>
      </c>
      <c r="B72" s="27"/>
      <c r="C72" s="27"/>
      <c r="D72" s="27"/>
      <c r="E72" s="27"/>
      <c r="F72" s="27"/>
      <c r="G72" s="27"/>
      <c r="H72" s="27"/>
      <c r="I72" s="31"/>
    </row>
    <row r="73" spans="1:9" ht="16.5" x14ac:dyDescent="0.25">
      <c r="A73" s="30" t="str">
        <f t="shared" si="2"/>
        <v/>
      </c>
      <c r="B73" s="27"/>
      <c r="C73" s="27"/>
      <c r="D73" s="27"/>
      <c r="E73" s="27"/>
      <c r="F73" s="27"/>
      <c r="G73" s="27"/>
      <c r="H73" s="27"/>
      <c r="I73" s="31"/>
    </row>
    <row r="74" spans="1:9" ht="16.5" x14ac:dyDescent="0.25">
      <c r="A74" s="30" t="str">
        <f t="shared" si="2"/>
        <v/>
      </c>
      <c r="B74" s="27"/>
      <c r="C74" s="27"/>
      <c r="D74" s="27"/>
      <c r="E74" s="27"/>
      <c r="F74" s="27"/>
      <c r="G74" s="27"/>
      <c r="H74" s="27"/>
      <c r="I74" s="31"/>
    </row>
    <row r="75" spans="1:9" ht="16.5" x14ac:dyDescent="0.25">
      <c r="A75" s="30" t="str">
        <f t="shared" si="2"/>
        <v/>
      </c>
      <c r="B75" s="27"/>
      <c r="C75" s="27"/>
      <c r="D75" s="27"/>
      <c r="E75" s="27"/>
      <c r="F75" s="27"/>
      <c r="G75" s="27"/>
      <c r="H75" s="27"/>
      <c r="I75" s="31"/>
    </row>
    <row r="76" spans="1:9" ht="16.5" x14ac:dyDescent="0.25">
      <c r="A76" s="30" t="str">
        <f t="shared" si="2"/>
        <v/>
      </c>
      <c r="B76" s="27"/>
      <c r="C76" s="27"/>
      <c r="D76" s="27"/>
      <c r="E76" s="27"/>
      <c r="F76" s="27"/>
      <c r="G76" s="27"/>
      <c r="H76" s="27"/>
      <c r="I76" s="31"/>
    </row>
    <row r="77" spans="1:9" ht="16.5" x14ac:dyDescent="0.25">
      <c r="A77" s="30" t="str">
        <f t="shared" si="2"/>
        <v/>
      </c>
      <c r="B77" s="27"/>
      <c r="C77" s="27"/>
      <c r="D77" s="27"/>
      <c r="E77" s="27"/>
      <c r="F77" s="27"/>
      <c r="G77" s="27"/>
      <c r="H77" s="27"/>
      <c r="I77" s="31"/>
    </row>
    <row r="78" spans="1:9" ht="16.5" x14ac:dyDescent="0.25">
      <c r="A78" s="30" t="str">
        <f t="shared" si="2"/>
        <v/>
      </c>
      <c r="B78" s="27"/>
      <c r="C78" s="27"/>
      <c r="D78" s="27"/>
      <c r="E78" s="27"/>
      <c r="F78" s="27"/>
      <c r="G78" s="27"/>
      <c r="H78" s="27"/>
      <c r="I78" s="31"/>
    </row>
    <row r="79" spans="1:9" ht="16.5" x14ac:dyDescent="0.25">
      <c r="A79" s="30" t="str">
        <f t="shared" si="2"/>
        <v/>
      </c>
      <c r="B79" s="27"/>
      <c r="C79" s="27"/>
      <c r="D79" s="27"/>
      <c r="E79" s="27"/>
      <c r="F79" s="27"/>
      <c r="G79" s="27"/>
      <c r="H79" s="27"/>
      <c r="I79" s="31"/>
    </row>
    <row r="80" spans="1:9" ht="16.5" x14ac:dyDescent="0.25">
      <c r="A80" s="30" t="str">
        <f t="shared" si="2"/>
        <v/>
      </c>
      <c r="B80" s="27"/>
      <c r="C80" s="27"/>
      <c r="D80" s="27"/>
      <c r="E80" s="27"/>
      <c r="F80" s="27"/>
      <c r="G80" s="27"/>
      <c r="H80" s="27"/>
      <c r="I80" s="31"/>
    </row>
    <row r="81" spans="1:9" ht="16.5" x14ac:dyDescent="0.25">
      <c r="A81" s="30" t="str">
        <f t="shared" si="2"/>
        <v/>
      </c>
      <c r="B81" s="27"/>
      <c r="C81" s="27"/>
      <c r="D81" s="27"/>
      <c r="E81" s="27"/>
      <c r="F81" s="27"/>
      <c r="G81" s="27"/>
      <c r="H81" s="27"/>
      <c r="I81" s="31"/>
    </row>
    <row r="82" spans="1:9" ht="16.5" x14ac:dyDescent="0.25">
      <c r="A82" s="30" t="str">
        <f t="shared" si="2"/>
        <v/>
      </c>
      <c r="B82" s="27"/>
      <c r="C82" s="27"/>
      <c r="D82" s="27"/>
      <c r="E82" s="27"/>
      <c r="F82" s="27"/>
      <c r="G82" s="27"/>
      <c r="H82" s="27"/>
      <c r="I82" s="31"/>
    </row>
    <row r="83" spans="1:9" ht="16.5" x14ac:dyDescent="0.25">
      <c r="A83" s="30" t="str">
        <f t="shared" si="2"/>
        <v/>
      </c>
      <c r="B83" s="27"/>
      <c r="C83" s="27"/>
      <c r="D83" s="27"/>
      <c r="E83" s="27"/>
      <c r="F83" s="27"/>
      <c r="G83" s="27"/>
      <c r="H83" s="27"/>
      <c r="I83" s="31"/>
    </row>
    <row r="84" spans="1:9" ht="16.5" x14ac:dyDescent="0.25">
      <c r="A84" s="30" t="str">
        <f t="shared" si="2"/>
        <v/>
      </c>
      <c r="B84" s="27"/>
      <c r="C84" s="27"/>
      <c r="D84" s="27"/>
      <c r="E84" s="27"/>
      <c r="F84" s="27"/>
      <c r="G84" s="27"/>
      <c r="H84" s="27"/>
      <c r="I84" s="31"/>
    </row>
    <row r="85" spans="1:9" ht="16.5" x14ac:dyDescent="0.25">
      <c r="A85" s="30" t="str">
        <f t="shared" si="2"/>
        <v/>
      </c>
      <c r="B85" s="27"/>
      <c r="C85" s="27"/>
      <c r="D85" s="27"/>
      <c r="E85" s="27"/>
      <c r="F85" s="27"/>
      <c r="G85" s="27"/>
      <c r="H85" s="27"/>
      <c r="I85" s="31"/>
    </row>
    <row r="86" spans="1:9" ht="16.5" x14ac:dyDescent="0.25">
      <c r="A86" s="30" t="str">
        <f t="shared" si="2"/>
        <v/>
      </c>
      <c r="B86" s="27"/>
      <c r="C86" s="27"/>
      <c r="D86" s="27"/>
      <c r="E86" s="27"/>
      <c r="F86" s="27"/>
      <c r="G86" s="27"/>
      <c r="H86" s="27"/>
      <c r="I86" s="31"/>
    </row>
    <row r="87" spans="1:9" ht="16.5" x14ac:dyDescent="0.25">
      <c r="A87" s="30" t="str">
        <f t="shared" si="2"/>
        <v/>
      </c>
      <c r="B87" s="27"/>
      <c r="C87" s="27"/>
      <c r="D87" s="27"/>
      <c r="E87" s="27"/>
      <c r="F87" s="27"/>
      <c r="G87" s="27"/>
      <c r="H87" s="27"/>
      <c r="I87" s="31"/>
    </row>
    <row r="88" spans="1:9" ht="16.5" x14ac:dyDescent="0.25">
      <c r="A88" s="30" t="str">
        <f t="shared" si="2"/>
        <v/>
      </c>
      <c r="B88" s="27"/>
      <c r="C88" s="27"/>
      <c r="D88" s="27"/>
      <c r="E88" s="27"/>
      <c r="F88" s="27"/>
      <c r="G88" s="27"/>
      <c r="H88" s="27"/>
      <c r="I88" s="31"/>
    </row>
    <row r="89" spans="1:9" ht="16.5" x14ac:dyDescent="0.25">
      <c r="A89" s="30" t="str">
        <f t="shared" si="2"/>
        <v/>
      </c>
      <c r="B89" s="27"/>
      <c r="C89" s="27"/>
      <c r="D89" s="27"/>
      <c r="E89" s="27"/>
      <c r="F89" s="27"/>
      <c r="G89" s="27"/>
      <c r="H89" s="27"/>
      <c r="I89" s="31"/>
    </row>
    <row r="90" spans="1:9" ht="16.5" x14ac:dyDescent="0.25">
      <c r="A90" s="30" t="str">
        <f t="shared" si="2"/>
        <v/>
      </c>
      <c r="B90" s="27"/>
      <c r="C90" s="27"/>
      <c r="D90" s="27"/>
      <c r="E90" s="27"/>
      <c r="F90" s="27"/>
      <c r="G90" s="27"/>
      <c r="H90" s="27"/>
      <c r="I90" s="31"/>
    </row>
    <row r="91" spans="1:9" ht="16.5" x14ac:dyDescent="0.25">
      <c r="A91" s="30" t="str">
        <f t="shared" si="2"/>
        <v/>
      </c>
      <c r="B91" s="27"/>
      <c r="C91" s="27"/>
      <c r="D91" s="27"/>
      <c r="E91" s="27"/>
      <c r="F91" s="27"/>
      <c r="G91" s="27"/>
      <c r="H91" s="27"/>
      <c r="I91" s="31"/>
    </row>
    <row r="92" spans="1:9" ht="16.5" x14ac:dyDescent="0.25">
      <c r="A92" s="30" t="str">
        <f t="shared" si="2"/>
        <v/>
      </c>
      <c r="B92" s="27"/>
      <c r="C92" s="27"/>
      <c r="D92" s="27"/>
      <c r="E92" s="27"/>
      <c r="F92" s="27"/>
      <c r="G92" s="27"/>
      <c r="H92" s="27"/>
      <c r="I92" s="31"/>
    </row>
    <row r="93" spans="1:9" ht="16.5" x14ac:dyDescent="0.25">
      <c r="A93" s="30" t="str">
        <f t="shared" si="2"/>
        <v/>
      </c>
      <c r="B93" s="27"/>
      <c r="C93" s="27"/>
      <c r="D93" s="27"/>
      <c r="E93" s="27"/>
      <c r="F93" s="27"/>
      <c r="G93" s="27"/>
      <c r="H93" s="27"/>
      <c r="I93" s="31"/>
    </row>
    <row r="94" spans="1:9" ht="16.5" x14ac:dyDescent="0.25">
      <c r="A94" s="30" t="str">
        <f t="shared" si="2"/>
        <v/>
      </c>
      <c r="B94" s="27"/>
      <c r="C94" s="27"/>
      <c r="D94" s="27"/>
      <c r="E94" s="27"/>
      <c r="F94" s="27"/>
      <c r="G94" s="27"/>
      <c r="H94" s="27"/>
      <c r="I94" s="31"/>
    </row>
    <row r="95" spans="1:9" ht="16.5" x14ac:dyDescent="0.25">
      <c r="A95" s="30" t="str">
        <f t="shared" si="2"/>
        <v/>
      </c>
      <c r="B95" s="27"/>
      <c r="C95" s="27"/>
      <c r="D95" s="27"/>
      <c r="E95" s="27"/>
      <c r="F95" s="27"/>
      <c r="G95" s="27"/>
      <c r="H95" s="27"/>
      <c r="I95" s="31"/>
    </row>
    <row r="96" spans="1:9" ht="16.5" x14ac:dyDescent="0.25">
      <c r="A96" s="30" t="str">
        <f t="shared" si="2"/>
        <v/>
      </c>
      <c r="B96" s="27"/>
      <c r="C96" s="27"/>
      <c r="D96" s="27"/>
      <c r="E96" s="27"/>
      <c r="F96" s="27"/>
      <c r="G96" s="27"/>
      <c r="H96" s="27"/>
      <c r="I96" s="31"/>
    </row>
    <row r="97" spans="1:9" ht="16.5" x14ac:dyDescent="0.25">
      <c r="A97" s="30" t="str">
        <f t="shared" si="2"/>
        <v/>
      </c>
      <c r="B97" s="27"/>
      <c r="C97" s="27"/>
      <c r="D97" s="27"/>
      <c r="E97" s="27"/>
      <c r="F97" s="27"/>
      <c r="G97" s="27"/>
      <c r="H97" s="27"/>
      <c r="I97" s="31"/>
    </row>
    <row r="98" spans="1:9" ht="16.5" x14ac:dyDescent="0.25">
      <c r="A98" s="30" t="str">
        <f t="shared" si="2"/>
        <v/>
      </c>
      <c r="B98" s="27"/>
      <c r="C98" s="27"/>
      <c r="D98" s="27"/>
      <c r="E98" s="27"/>
      <c r="F98" s="27"/>
      <c r="G98" s="27"/>
      <c r="H98" s="27"/>
      <c r="I98" s="31"/>
    </row>
    <row r="99" spans="1:9" ht="16.5" x14ac:dyDescent="0.25">
      <c r="A99" s="30" t="str">
        <f t="shared" si="2"/>
        <v/>
      </c>
      <c r="B99" s="27"/>
      <c r="C99" s="27"/>
      <c r="D99" s="27"/>
      <c r="E99" s="27"/>
      <c r="F99" s="27"/>
      <c r="G99" s="27"/>
      <c r="H99" s="27"/>
      <c r="I99" s="31"/>
    </row>
    <row r="100" spans="1:9" ht="16.5" x14ac:dyDescent="0.25">
      <c r="A100" s="30" t="str">
        <f t="shared" si="2"/>
        <v/>
      </c>
      <c r="B100" s="27"/>
      <c r="C100" s="27"/>
      <c r="D100" s="27"/>
      <c r="E100" s="27"/>
      <c r="F100" s="27"/>
      <c r="G100" s="27"/>
      <c r="H100" s="27"/>
      <c r="I100" s="31"/>
    </row>
    <row r="101" spans="1:9" ht="16.5" x14ac:dyDescent="0.25">
      <c r="A101" s="30" t="str">
        <f t="shared" si="2"/>
        <v/>
      </c>
      <c r="B101" s="27"/>
      <c r="C101" s="27"/>
      <c r="D101" s="27"/>
      <c r="E101" s="27"/>
      <c r="F101" s="27"/>
      <c r="G101" s="27"/>
      <c r="H101" s="27"/>
      <c r="I101" s="31"/>
    </row>
    <row r="102" spans="1:9" ht="16.5" x14ac:dyDescent="0.25">
      <c r="A102" s="30" t="str">
        <f t="shared" si="2"/>
        <v/>
      </c>
      <c r="B102" s="27"/>
      <c r="C102" s="27"/>
      <c r="D102" s="27"/>
      <c r="E102" s="27"/>
      <c r="F102" s="27"/>
      <c r="G102" s="27"/>
      <c r="H102" s="27"/>
      <c r="I102" s="31"/>
    </row>
    <row r="103" spans="1:9" ht="16.5" x14ac:dyDescent="0.25">
      <c r="A103" s="30" t="str">
        <f t="shared" si="2"/>
        <v/>
      </c>
      <c r="B103" s="27"/>
      <c r="C103" s="27"/>
      <c r="D103" s="27"/>
      <c r="E103" s="27"/>
      <c r="F103" s="27"/>
      <c r="G103" s="27"/>
      <c r="H103" s="27"/>
      <c r="I103" s="31"/>
    </row>
    <row r="104" spans="1:9" ht="16.5" x14ac:dyDescent="0.25">
      <c r="A104" s="30" t="str">
        <f t="shared" si="2"/>
        <v/>
      </c>
      <c r="B104" s="27"/>
      <c r="C104" s="27"/>
      <c r="D104" s="27"/>
      <c r="E104" s="27"/>
      <c r="F104" s="27"/>
      <c r="G104" s="27"/>
      <c r="H104" s="27"/>
      <c r="I104" s="31"/>
    </row>
    <row r="105" spans="1:9" ht="16.5" x14ac:dyDescent="0.25">
      <c r="A105" s="30" t="str">
        <f t="shared" si="2"/>
        <v/>
      </c>
      <c r="B105" s="27"/>
      <c r="C105" s="27"/>
      <c r="D105" s="27"/>
      <c r="E105" s="27"/>
      <c r="F105" s="27"/>
      <c r="G105" s="27"/>
      <c r="H105" s="27"/>
      <c r="I105" s="31"/>
    </row>
    <row r="106" spans="1:9" ht="16.5" x14ac:dyDescent="0.25">
      <c r="A106" s="30" t="str">
        <f t="shared" si="2"/>
        <v/>
      </c>
      <c r="B106" s="27"/>
      <c r="C106" s="27"/>
      <c r="D106" s="27"/>
      <c r="E106" s="27"/>
      <c r="F106" s="27"/>
      <c r="G106" s="27"/>
      <c r="H106" s="27"/>
      <c r="I106" s="31"/>
    </row>
    <row r="107" spans="1:9" ht="16.5" x14ac:dyDescent="0.25">
      <c r="A107" s="30" t="str">
        <f t="shared" si="2"/>
        <v/>
      </c>
      <c r="B107" s="27"/>
      <c r="C107" s="27"/>
      <c r="D107" s="27"/>
      <c r="E107" s="27"/>
      <c r="F107" s="27"/>
      <c r="G107" s="27"/>
      <c r="H107" s="27"/>
      <c r="I107" s="31"/>
    </row>
    <row r="108" spans="1:9" ht="16.5" x14ac:dyDescent="0.25">
      <c r="A108" s="30" t="str">
        <f t="shared" si="2"/>
        <v/>
      </c>
      <c r="B108" s="27"/>
      <c r="C108" s="27"/>
      <c r="D108" s="27"/>
      <c r="E108" s="27"/>
      <c r="F108" s="27"/>
      <c r="G108" s="27"/>
      <c r="H108" s="27"/>
      <c r="I108" s="31"/>
    </row>
    <row r="109" spans="1:9" ht="16.5" x14ac:dyDescent="0.25">
      <c r="A109" s="30" t="str">
        <f t="shared" si="2"/>
        <v/>
      </c>
      <c r="B109" s="27"/>
      <c r="C109" s="27"/>
      <c r="D109" s="27"/>
      <c r="E109" s="27"/>
      <c r="F109" s="27"/>
      <c r="G109" s="27"/>
      <c r="H109" s="27"/>
      <c r="I109" s="31"/>
    </row>
    <row r="110" spans="1:9" ht="16.5" x14ac:dyDescent="0.25">
      <c r="A110" s="30" t="str">
        <f t="shared" si="2"/>
        <v/>
      </c>
      <c r="B110" s="27"/>
      <c r="C110" s="27"/>
      <c r="D110" s="27"/>
      <c r="E110" s="27"/>
      <c r="F110" s="27"/>
      <c r="G110" s="27"/>
      <c r="H110" s="27"/>
      <c r="I110" s="31"/>
    </row>
    <row r="111" spans="1:9" ht="16.5" x14ac:dyDescent="0.25">
      <c r="A111" s="30" t="str">
        <f t="shared" si="2"/>
        <v/>
      </c>
      <c r="B111" s="27"/>
      <c r="C111" s="27"/>
      <c r="D111" s="27"/>
      <c r="E111" s="27"/>
      <c r="F111" s="27"/>
      <c r="G111" s="27"/>
      <c r="H111" s="27"/>
      <c r="I111" s="31"/>
    </row>
    <row r="112" spans="1:9" ht="16.5" x14ac:dyDescent="0.25">
      <c r="A112" s="30" t="str">
        <f t="shared" si="2"/>
        <v/>
      </c>
      <c r="B112" s="27"/>
      <c r="C112" s="27"/>
      <c r="D112" s="27"/>
      <c r="E112" s="27"/>
      <c r="F112" s="27"/>
      <c r="G112" s="27"/>
      <c r="H112" s="27"/>
      <c r="I112" s="31"/>
    </row>
    <row r="113" spans="1:9" ht="16.5" x14ac:dyDescent="0.25">
      <c r="A113" s="30" t="str">
        <f t="shared" si="2"/>
        <v/>
      </c>
      <c r="B113" s="27"/>
      <c r="C113" s="27"/>
      <c r="D113" s="27"/>
      <c r="E113" s="27"/>
      <c r="F113" s="27"/>
      <c r="G113" s="27"/>
      <c r="H113" s="27"/>
      <c r="I113" s="31"/>
    </row>
    <row r="114" spans="1:9" ht="16.5" x14ac:dyDescent="0.25">
      <c r="A114" s="30" t="str">
        <f t="shared" ref="A114" si="3">IF(B114&lt;&gt;"",A113+1,"")</f>
        <v/>
      </c>
      <c r="B114" s="27"/>
      <c r="C114" s="27"/>
      <c r="D114" s="27"/>
      <c r="E114" s="27"/>
      <c r="F114" s="27"/>
      <c r="G114" s="27"/>
      <c r="H114" s="27"/>
      <c r="I114" s="31"/>
    </row>
  </sheetData>
  <sheetProtection selectLockedCells="1"/>
  <conditionalFormatting sqref="B15:I114">
    <cfRule type="expression" dxfId="26" priority="1">
      <formula>$A$9=$A15</formula>
    </cfRule>
  </conditionalFormatting>
  <pageMargins left="0.7" right="0.7" top="0.75" bottom="0.75" header="0.3" footer="0.3"/>
  <ignoredErrors>
    <ignoredError sqref="B4:C4 D4:H4" unlockedFormula="1"/>
  </ignoredErrors>
  <drawing r:id="rId1"/>
  <legacyDrawing r:id="rId2"/>
  <controls>
    <mc:AlternateContent xmlns:mc="http://schemas.openxmlformats.org/markup-compatibility/2006">
      <mc:Choice Requires="x14">
        <control shapeId="1026" r:id="rId3" name="CommandButton2">
          <controlPr defaultSize="0" autoLine="0" autoPict="0" r:id="rId4">
            <anchor moveWithCells="1">
              <from>
                <xdr:col>8</xdr:col>
                <xdr:colOff>28575</xdr:colOff>
                <xdr:row>2</xdr:row>
                <xdr:rowOff>9525</xdr:rowOff>
              </from>
              <to>
                <xdr:col>8</xdr:col>
                <xdr:colOff>1809750</xdr:colOff>
                <xdr:row>4</xdr:row>
                <xdr:rowOff>0</xdr:rowOff>
              </to>
            </anchor>
          </controlPr>
        </control>
      </mc:Choice>
      <mc:Fallback>
        <control shapeId="1026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8</xdr:col>
                <xdr:colOff>47625</xdr:colOff>
                <xdr:row>6</xdr:row>
                <xdr:rowOff>190500</xdr:rowOff>
              </from>
              <to>
                <xdr:col>8</xdr:col>
                <xdr:colOff>1019175</xdr:colOff>
                <xdr:row>8</xdr:row>
                <xdr:rowOff>190500</xdr:rowOff>
              </to>
            </anchor>
          </controlPr>
        </control>
      </mc:Choice>
      <mc:Fallback>
        <control shapeId="1025" r:id="rId5" name="CommandButton1"/>
      </mc:Fallback>
    </mc:AlternateContent>
    <mc:AlternateContent xmlns:mc="http://schemas.openxmlformats.org/markup-compatibility/2006">
      <mc:Choice Requires="x14">
        <control shapeId="1031" r:id="rId7" name="SpinButton1">
          <controlPr defaultSize="0" autoLine="0" r:id="rId8">
            <anchor moveWithCells="1">
              <from>
                <xdr:col>8</xdr:col>
                <xdr:colOff>57150</xdr:colOff>
                <xdr:row>9</xdr:row>
                <xdr:rowOff>47625</xdr:rowOff>
              </from>
              <to>
                <xdr:col>8</xdr:col>
                <xdr:colOff>876300</xdr:colOff>
                <xdr:row>10</xdr:row>
                <xdr:rowOff>142875</xdr:rowOff>
              </to>
            </anchor>
          </controlPr>
        </control>
      </mc:Choice>
      <mc:Fallback>
        <control shapeId="1031" r:id="rId7" name="SpinButton1"/>
      </mc:Fallback>
    </mc:AlternateContent>
    <mc:AlternateContent xmlns:mc="http://schemas.openxmlformats.org/markup-compatibility/2006">
      <mc:Choice Requires="x14">
        <control shapeId="1032" r:id="rId9" name="CommandButton3">
          <controlPr defaultSize="0" autoLine="0" autoPict="0" r:id="rId10">
            <anchor moveWithCells="1">
              <from>
                <xdr:col>8</xdr:col>
                <xdr:colOff>19050</xdr:colOff>
                <xdr:row>11</xdr:row>
                <xdr:rowOff>238125</xdr:rowOff>
              </from>
              <to>
                <xdr:col>9</xdr:col>
                <xdr:colOff>0</xdr:colOff>
                <xdr:row>12</xdr:row>
                <xdr:rowOff>361950</xdr:rowOff>
              </to>
            </anchor>
          </controlPr>
        </control>
      </mc:Choice>
      <mc:Fallback>
        <control shapeId="1032" r:id="rId9" name="CommandButton3"/>
      </mc:Fallback>
    </mc:AlternateContent>
    <mc:AlternateContent xmlns:mc="http://schemas.openxmlformats.org/markup-compatibility/2006">
      <mc:Choice Requires="x14">
        <control shapeId="1039" r:id="rId11" name="CommandButton4">
          <controlPr defaultSize="0" autoLine="0" autoPict="0" r:id="rId12">
            <anchor moveWithCells="1">
              <from>
                <xdr:col>9</xdr:col>
                <xdr:colOff>57150</xdr:colOff>
                <xdr:row>11</xdr:row>
                <xdr:rowOff>228600</xdr:rowOff>
              </from>
              <to>
                <xdr:col>11</xdr:col>
                <xdr:colOff>533400</xdr:colOff>
                <xdr:row>13</xdr:row>
                <xdr:rowOff>152400</xdr:rowOff>
              </to>
            </anchor>
          </controlPr>
        </control>
      </mc:Choice>
      <mc:Fallback>
        <control shapeId="1039" r:id="rId11" name="CommandButton4"/>
      </mc:Fallback>
    </mc:AlternateContent>
    <mc:AlternateContent xmlns:mc="http://schemas.openxmlformats.org/markup-compatibility/2006">
      <mc:Choice Requires="x14">
        <control shapeId="1043" r:id="rId13" name="CommandButton5">
          <controlPr defaultSize="0" autoLine="0" r:id="rId14">
            <anchor moveWithCells="1">
              <from>
                <xdr:col>12</xdr:col>
                <xdr:colOff>0</xdr:colOff>
                <xdr:row>11</xdr:row>
                <xdr:rowOff>228600</xdr:rowOff>
              </from>
              <to>
                <xdr:col>13</xdr:col>
                <xdr:colOff>371475</xdr:colOff>
                <xdr:row>13</xdr:row>
                <xdr:rowOff>142875</xdr:rowOff>
              </to>
            </anchor>
          </controlPr>
        </control>
      </mc:Choice>
      <mc:Fallback>
        <control shapeId="1043" r:id="rId13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A8CCA7-8B7A-49B4-A249-8B238A94D5F3}">
          <x14:formula1>
            <xm:f>Ref!$A$1:$A$2</xm:f>
          </x14:formula1>
          <xm:sqref>H15:H114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9AA02-EFDF-41AE-9B51-5DD583891591}">
  <sheetPr codeName="Sheet2"/>
  <dimension ref="A1:K22"/>
  <sheetViews>
    <sheetView showGridLines="0" workbookViewId="0">
      <selection activeCell="M5" sqref="M5"/>
    </sheetView>
  </sheetViews>
  <sheetFormatPr defaultRowHeight="15" x14ac:dyDescent="0.25"/>
  <cols>
    <col min="1" max="1" width="14.7109375" style="1" customWidth="1"/>
    <col min="2" max="11" width="10.7109375" style="1" customWidth="1"/>
    <col min="12" max="12" width="16.7109375" style="1" customWidth="1"/>
    <col min="13" max="16384" width="9.140625" style="1"/>
  </cols>
  <sheetData>
    <row r="1" spans="1:11" ht="30.75" x14ac:dyDescent="0.55000000000000004">
      <c r="A1" s="40" t="s">
        <v>47</v>
      </c>
      <c r="B1" s="40"/>
      <c r="C1" s="40"/>
      <c r="D1" s="40"/>
      <c r="E1" s="40"/>
      <c r="F1" s="40"/>
      <c r="G1" s="40"/>
      <c r="H1" s="40"/>
      <c r="I1" s="40"/>
      <c r="J1" s="40"/>
    </row>
    <row r="2" spans="1:11" ht="16.5" x14ac:dyDescent="0.25">
      <c r="A2" s="41" t="s">
        <v>31</v>
      </c>
      <c r="B2" s="41"/>
      <c r="C2" s="41"/>
      <c r="D2" s="41"/>
      <c r="E2" s="41"/>
      <c r="F2" s="41"/>
      <c r="G2" s="41"/>
      <c r="H2" s="41"/>
      <c r="I2" s="41"/>
      <c r="J2" s="41"/>
    </row>
    <row r="3" spans="1:11" ht="33.6" customHeight="1" x14ac:dyDescent="0.35">
      <c r="A3" s="42" t="s">
        <v>32</v>
      </c>
      <c r="B3" s="42"/>
      <c r="C3" s="42"/>
      <c r="D3" s="42"/>
      <c r="E3" s="42"/>
      <c r="F3" s="42"/>
      <c r="G3" s="42"/>
      <c r="H3" s="42"/>
      <c r="I3" s="42"/>
      <c r="J3" s="42"/>
      <c r="K3" s="42"/>
    </row>
    <row r="4" spans="1:11" x14ac:dyDescent="0.25">
      <c r="A4" s="16" t="s">
        <v>33</v>
      </c>
      <c r="B4" s="16" t="s">
        <v>10</v>
      </c>
      <c r="C4" s="16" t="s">
        <v>12</v>
      </c>
      <c r="D4" s="16" t="s">
        <v>13</v>
      </c>
      <c r="E4" s="16" t="s">
        <v>14</v>
      </c>
      <c r="F4" s="16" t="s">
        <v>15</v>
      </c>
      <c r="G4" s="16" t="s">
        <v>16</v>
      </c>
      <c r="H4" s="16" t="s">
        <v>17</v>
      </c>
      <c r="I4" s="16" t="s">
        <v>18</v>
      </c>
      <c r="J4" s="16" t="s">
        <v>19</v>
      </c>
      <c r="K4" s="16" t="s">
        <v>20</v>
      </c>
    </row>
    <row r="5" spans="1:11" ht="19.5" customHeight="1" x14ac:dyDescent="0.25">
      <c r="A5" s="18">
        <v>45213.420346018516</v>
      </c>
      <c r="B5" s="17">
        <v>238</v>
      </c>
      <c r="C5" s="17">
        <v>298</v>
      </c>
      <c r="D5" s="17">
        <v>188</v>
      </c>
      <c r="E5" s="17">
        <v>274</v>
      </c>
      <c r="F5" s="17">
        <v>184</v>
      </c>
      <c r="G5" s="17">
        <v>170</v>
      </c>
      <c r="H5" s="17"/>
      <c r="I5" s="17"/>
      <c r="J5" s="17"/>
      <c r="K5" s="17"/>
    </row>
    <row r="6" spans="1:11" ht="33.6" customHeight="1" x14ac:dyDescent="0.35">
      <c r="A6" s="43" t="s">
        <v>34</v>
      </c>
      <c r="B6" s="43"/>
      <c r="C6" s="43"/>
      <c r="D6" s="43"/>
      <c r="E6" s="43"/>
      <c r="F6" s="43"/>
      <c r="G6" s="43"/>
      <c r="H6" s="43"/>
      <c r="I6" s="43"/>
      <c r="J6" s="43"/>
      <c r="K6" s="43"/>
    </row>
    <row r="7" spans="1:11" x14ac:dyDescent="0.25">
      <c r="A7" s="16" t="s">
        <v>33</v>
      </c>
      <c r="B7" s="16" t="s">
        <v>10</v>
      </c>
      <c r="C7" s="16" t="s">
        <v>12</v>
      </c>
      <c r="D7" s="16" t="s">
        <v>13</v>
      </c>
      <c r="E7" s="16" t="s">
        <v>14</v>
      </c>
      <c r="F7" s="16" t="s">
        <v>15</v>
      </c>
      <c r="G7" s="16" t="s">
        <v>16</v>
      </c>
      <c r="H7" s="16" t="s">
        <v>17</v>
      </c>
      <c r="I7" s="16" t="s">
        <v>18</v>
      </c>
      <c r="J7" s="16" t="s">
        <v>19</v>
      </c>
      <c r="K7" s="16" t="s">
        <v>20</v>
      </c>
    </row>
    <row r="8" spans="1:11" ht="19.5" customHeight="1" x14ac:dyDescent="0.25">
      <c r="A8" s="21">
        <v>45213.420005092594</v>
      </c>
      <c r="B8" s="19">
        <v>238</v>
      </c>
      <c r="C8" s="19">
        <v>248</v>
      </c>
      <c r="D8" s="19">
        <v>20</v>
      </c>
      <c r="E8" s="19">
        <v>150</v>
      </c>
      <c r="F8" s="19">
        <v>184</v>
      </c>
      <c r="G8" s="19">
        <v>170</v>
      </c>
      <c r="H8" s="19"/>
      <c r="I8" s="19"/>
      <c r="J8" s="19"/>
      <c r="K8" s="19"/>
    </row>
    <row r="9" spans="1:11" ht="19.5" customHeight="1" x14ac:dyDescent="0.25">
      <c r="A9" s="22">
        <v>45213.420039606484</v>
      </c>
      <c r="B9" s="20">
        <v>238</v>
      </c>
      <c r="C9" s="20">
        <v>192</v>
      </c>
      <c r="D9" s="20">
        <v>252</v>
      </c>
      <c r="E9" s="20">
        <v>420</v>
      </c>
      <c r="F9" s="20">
        <v>184</v>
      </c>
      <c r="G9" s="20">
        <v>170</v>
      </c>
      <c r="H9" s="20"/>
      <c r="I9" s="20"/>
      <c r="J9" s="20"/>
      <c r="K9" s="20"/>
    </row>
    <row r="10" spans="1:11" ht="19.5" customHeight="1" x14ac:dyDescent="0.25">
      <c r="A10" s="22">
        <v>45213.420071319444</v>
      </c>
      <c r="B10" s="20">
        <v>238</v>
      </c>
      <c r="C10" s="20">
        <v>238</v>
      </c>
      <c r="D10" s="20">
        <v>54</v>
      </c>
      <c r="E10" s="20">
        <v>198</v>
      </c>
      <c r="F10" s="20">
        <v>184</v>
      </c>
      <c r="G10" s="20">
        <v>170</v>
      </c>
      <c r="H10" s="20"/>
      <c r="I10" s="20"/>
      <c r="J10" s="20"/>
      <c r="K10" s="20"/>
    </row>
    <row r="11" spans="1:11" ht="19.5" customHeight="1" x14ac:dyDescent="0.25">
      <c r="A11" s="22">
        <v>45213.420081446762</v>
      </c>
      <c r="B11" s="20">
        <v>238</v>
      </c>
      <c r="C11" s="20">
        <v>298</v>
      </c>
      <c r="D11" s="20">
        <v>54</v>
      </c>
      <c r="E11" s="20">
        <v>130</v>
      </c>
      <c r="F11" s="20">
        <v>184</v>
      </c>
      <c r="G11" s="20">
        <v>170</v>
      </c>
      <c r="H11" s="20"/>
      <c r="I11" s="20"/>
      <c r="J11" s="20"/>
      <c r="K11" s="20"/>
    </row>
    <row r="12" spans="1:11" ht="19.5" customHeight="1" x14ac:dyDescent="0.25">
      <c r="A12" s="22">
        <v>45213.420102233795</v>
      </c>
      <c r="B12" s="20">
        <v>238</v>
      </c>
      <c r="C12" s="20">
        <v>298</v>
      </c>
      <c r="D12" s="20">
        <v>188</v>
      </c>
      <c r="E12" s="20">
        <v>274</v>
      </c>
      <c r="F12" s="20">
        <v>184</v>
      </c>
      <c r="G12" s="20">
        <v>170</v>
      </c>
      <c r="H12" s="20"/>
      <c r="I12" s="20"/>
      <c r="J12" s="20"/>
      <c r="K12" s="20"/>
    </row>
    <row r="13" spans="1:11" ht="19.5" customHeight="1" x14ac:dyDescent="0.25">
      <c r="A13" s="22">
        <v>45213.420126840276</v>
      </c>
      <c r="B13" s="20">
        <v>238</v>
      </c>
      <c r="C13" s="20">
        <v>248</v>
      </c>
      <c r="D13" s="20">
        <v>20</v>
      </c>
      <c r="E13" s="20">
        <v>150</v>
      </c>
      <c r="F13" s="20">
        <v>184</v>
      </c>
      <c r="G13" s="20">
        <v>170</v>
      </c>
      <c r="H13" s="20"/>
      <c r="I13" s="20"/>
      <c r="J13" s="20"/>
      <c r="K13" s="20"/>
    </row>
    <row r="14" spans="1:11" ht="19.5" customHeight="1" x14ac:dyDescent="0.25">
      <c r="A14" s="22">
        <v>45213.420164629628</v>
      </c>
      <c r="B14" s="20">
        <v>238</v>
      </c>
      <c r="C14" s="20">
        <v>192</v>
      </c>
      <c r="D14" s="20">
        <v>252</v>
      </c>
      <c r="E14" s="20">
        <v>420</v>
      </c>
      <c r="F14" s="20">
        <v>184</v>
      </c>
      <c r="G14" s="20">
        <v>170</v>
      </c>
      <c r="H14" s="20"/>
      <c r="I14" s="20"/>
      <c r="J14" s="20"/>
      <c r="K14" s="20"/>
    </row>
    <row r="15" spans="1:11" ht="19.5" customHeight="1" x14ac:dyDescent="0.25">
      <c r="A15" s="22">
        <v>45213.420195567131</v>
      </c>
      <c r="B15" s="20">
        <v>238</v>
      </c>
      <c r="C15" s="20">
        <v>238</v>
      </c>
      <c r="D15" s="20">
        <v>54</v>
      </c>
      <c r="E15" s="20">
        <v>198</v>
      </c>
      <c r="F15" s="20">
        <v>184</v>
      </c>
      <c r="G15" s="20">
        <v>170</v>
      </c>
      <c r="H15" s="20"/>
      <c r="I15" s="20"/>
      <c r="J15" s="20"/>
      <c r="K15" s="20"/>
    </row>
    <row r="16" spans="1:11" ht="19.5" customHeight="1" x14ac:dyDescent="0.25">
      <c r="A16" s="22">
        <v>45213.420205856484</v>
      </c>
      <c r="B16" s="20">
        <v>238</v>
      </c>
      <c r="C16" s="20">
        <v>298</v>
      </c>
      <c r="D16" s="20">
        <v>54</v>
      </c>
      <c r="E16" s="20">
        <v>130</v>
      </c>
      <c r="F16" s="20">
        <v>184</v>
      </c>
      <c r="G16" s="20">
        <v>170</v>
      </c>
      <c r="H16" s="20"/>
      <c r="I16" s="20"/>
      <c r="J16" s="20"/>
      <c r="K16" s="20"/>
    </row>
    <row r="17" spans="1:11" ht="19.5" customHeight="1" x14ac:dyDescent="0.25">
      <c r="A17" s="22">
        <v>45213.420226412039</v>
      </c>
      <c r="B17" s="20">
        <v>238</v>
      </c>
      <c r="C17" s="20">
        <v>298</v>
      </c>
      <c r="D17" s="20">
        <v>188</v>
      </c>
      <c r="E17" s="20">
        <v>274</v>
      </c>
      <c r="F17" s="20">
        <v>184</v>
      </c>
      <c r="G17" s="20">
        <v>170</v>
      </c>
      <c r="H17" s="20"/>
      <c r="I17" s="20"/>
      <c r="J17" s="20"/>
      <c r="K17" s="20"/>
    </row>
    <row r="18" spans="1:11" ht="19.5" customHeight="1" x14ac:dyDescent="0.25">
      <c r="A18" s="22">
        <v>45213.420248541668</v>
      </c>
      <c r="B18" s="20">
        <v>238</v>
      </c>
      <c r="C18" s="20">
        <v>248</v>
      </c>
      <c r="D18" s="20">
        <v>20</v>
      </c>
      <c r="E18" s="20">
        <v>150</v>
      </c>
      <c r="F18" s="20">
        <v>184</v>
      </c>
      <c r="G18" s="20">
        <v>170</v>
      </c>
      <c r="H18" s="20"/>
      <c r="I18" s="20"/>
      <c r="J18" s="20"/>
      <c r="K18" s="20"/>
    </row>
    <row r="19" spans="1:11" ht="19.5" customHeight="1" x14ac:dyDescent="0.25">
      <c r="A19" s="22">
        <v>45213.420283807871</v>
      </c>
      <c r="B19" s="20">
        <v>238</v>
      </c>
      <c r="C19" s="20">
        <v>192</v>
      </c>
      <c r="D19" s="20">
        <v>252</v>
      </c>
      <c r="E19" s="20">
        <v>420</v>
      </c>
      <c r="F19" s="20">
        <v>184</v>
      </c>
      <c r="G19" s="20">
        <v>170</v>
      </c>
      <c r="H19" s="20"/>
      <c r="I19" s="20"/>
      <c r="J19" s="20"/>
      <c r="K19" s="20"/>
    </row>
    <row r="20" spans="1:11" ht="19.5" customHeight="1" x14ac:dyDescent="0.25">
      <c r="A20" s="22">
        <v>45213.42031509259</v>
      </c>
      <c r="B20" s="20">
        <v>238</v>
      </c>
      <c r="C20" s="20">
        <v>238</v>
      </c>
      <c r="D20" s="20">
        <v>54</v>
      </c>
      <c r="E20" s="20">
        <v>198</v>
      </c>
      <c r="F20" s="20">
        <v>184</v>
      </c>
      <c r="G20" s="20">
        <v>170</v>
      </c>
      <c r="H20" s="20"/>
      <c r="I20" s="20"/>
      <c r="J20" s="20"/>
      <c r="K20" s="20"/>
    </row>
    <row r="21" spans="1:11" ht="19.5" customHeight="1" x14ac:dyDescent="0.25">
      <c r="A21" s="22">
        <v>45213.420325937499</v>
      </c>
      <c r="B21" s="20">
        <v>238</v>
      </c>
      <c r="C21" s="20">
        <v>298</v>
      </c>
      <c r="D21" s="20">
        <v>54</v>
      </c>
      <c r="E21" s="20">
        <v>130</v>
      </c>
      <c r="F21" s="20">
        <v>184</v>
      </c>
      <c r="G21" s="20">
        <v>170</v>
      </c>
      <c r="H21" s="20"/>
      <c r="I21" s="20"/>
      <c r="J21" s="20"/>
      <c r="K21" s="20"/>
    </row>
    <row r="22" spans="1:11" ht="19.5" customHeight="1" x14ac:dyDescent="0.25">
      <c r="A22" s="23">
        <v>45213.420346018516</v>
      </c>
      <c r="B22" s="24">
        <v>238</v>
      </c>
      <c r="C22" s="24">
        <v>298</v>
      </c>
      <c r="D22" s="24">
        <v>188</v>
      </c>
      <c r="E22" s="24">
        <v>274</v>
      </c>
      <c r="F22" s="24">
        <v>184</v>
      </c>
      <c r="G22" s="24">
        <v>170</v>
      </c>
      <c r="H22" s="24"/>
      <c r="I22" s="24"/>
      <c r="J22" s="24"/>
      <c r="K22" s="24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Time_x000d__x000a__x000d__x000a_TBL_CUR[TIME]" sqref="A5" xr:uid="{C94FA046-38E5-40C8-B24F-32B1C4B9597C}"/>
    <dataValidation allowBlank="1" showInputMessage="1" showErrorMessage="1" prompt="TBL_CUR[CH1]" sqref="B5" xr:uid="{2DE85AF6-DC91-44C5-B202-5CE8FDD23C7C}"/>
    <dataValidation allowBlank="1" showInputMessage="1" showErrorMessage="1" prompt="TBL_CUR[CH2]" sqref="C5" xr:uid="{AB70E17C-615B-41DC-9F33-2A117D3F935A}"/>
    <dataValidation allowBlank="1" showInputMessage="1" showErrorMessage="1" prompt="TBL_CUR[CH3]" sqref="D5" xr:uid="{096DEE4A-B3FE-4E2C-9A93-32A3A65B4F08}"/>
    <dataValidation allowBlank="1" showInputMessage="1" showErrorMessage="1" prompt="TBL_CUR[CH4]" sqref="E5" xr:uid="{4477A920-4DA1-445E-ACA9-B27052F1DE98}"/>
    <dataValidation allowBlank="1" showInputMessage="1" showErrorMessage="1" prompt="TBL_CUR[CH5]" sqref="F5" xr:uid="{EE54AAD7-522A-4249-AAD9-EE910C2671EA}"/>
    <dataValidation allowBlank="1" showInputMessage="1" showErrorMessage="1" prompt="TBL_CUR[CH6]" sqref="G5" xr:uid="{19D766D7-7A55-4C3E-9958-31B44B05BE28}"/>
    <dataValidation allowBlank="1" showInputMessage="1" showErrorMessage="1" prompt="TBL_CUR[CH7]" sqref="H5" xr:uid="{5CEFEC77-7BC9-4415-A6C6-978103693C8F}"/>
    <dataValidation allowBlank="1" showInputMessage="1" showErrorMessage="1" prompt="TBL_CUR[CH8]" sqref="I5" xr:uid="{174EAC16-1CCB-4609-9661-218B7C8D68D0}"/>
    <dataValidation allowBlank="1" showInputMessage="1" showErrorMessage="1" prompt="TBL_CUR[CH9]" sqref="J5" xr:uid="{4A905427-F30F-419A-9AC4-95AAC7C9A029}"/>
    <dataValidation allowBlank="1" showInputMessage="1" showErrorMessage="1" prompt="TBL_CUR[CH10]" sqref="K5" xr:uid="{127F733E-8628-49F6-9BCB-0913D75E8E15}"/>
    <dataValidation allowBlank="1" showInputMessage="1" showErrorMessage="1" prompt="Time_x000d__x000a__x000d__x000a_TBL_HST[TIME]" sqref="A8:A22" xr:uid="{E64E4EFA-F963-43DA-9BED-4D77094AA9D2}"/>
    <dataValidation allowBlank="1" showInputMessage="1" showErrorMessage="1" prompt="TBL_HST[CH1]" sqref="B8:B22" xr:uid="{57BEF555-E83C-4D73-891D-73E7BF0B73ED}"/>
    <dataValidation allowBlank="1" showInputMessage="1" showErrorMessage="1" prompt="TBL_HST[CH2]" sqref="C8:C22" xr:uid="{22782F07-2482-49FC-AF93-8C9DD8DFB458}"/>
    <dataValidation allowBlank="1" showInputMessage="1" showErrorMessage="1" prompt="TBL_HST[CH3]" sqref="D8:D22" xr:uid="{31C08D17-524F-4770-84C5-A18D25DB09BE}"/>
    <dataValidation allowBlank="1" showInputMessage="1" showErrorMessage="1" prompt="TBL_HST[CH4]" sqref="E8:E22" xr:uid="{CD66F062-FF2C-41F4-B776-CE3FD8EA38FD}"/>
    <dataValidation allowBlank="1" showInputMessage="1" showErrorMessage="1" prompt="TBL_HST[CH5]" sqref="F8:F22" xr:uid="{5408B782-6BDC-4A13-ACB1-B5804E7B661D}"/>
    <dataValidation allowBlank="1" showInputMessage="1" showErrorMessage="1" prompt="TBL_HST[CH6]" sqref="G8:G22" xr:uid="{D4C0E923-60E8-40BC-A2DA-79A7D1A00936}"/>
    <dataValidation allowBlank="1" showInputMessage="1" showErrorMessage="1" prompt="TBL_HST[CH7]" sqref="H8:H22" xr:uid="{22D885E3-DCB8-41FD-A6F2-8CA456468544}"/>
    <dataValidation allowBlank="1" showInputMessage="1" showErrorMessage="1" prompt="TBL_HST[CH8]" sqref="I8:I22" xr:uid="{4C69546A-83AF-4402-A96F-C3F232266D52}"/>
    <dataValidation allowBlank="1" showInputMessage="1" showErrorMessage="1" prompt="TBL_HST[CH9]" sqref="J8:J22" xr:uid="{C5EA131E-F669-4517-9D98-4C04F1C38372}"/>
    <dataValidation allowBlank="1" showInputMessage="1" showErrorMessage="1" prompt="TBL_HST[CH10]" sqref="K8:K22" xr:uid="{15FF22EB-F81D-418A-A2C7-759056A16949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54831-D98E-4D55-85E8-313D58A67280}">
  <sheetPr codeName="Sheet3"/>
  <dimension ref="A1:J5"/>
  <sheetViews>
    <sheetView showGridLines="0" workbookViewId="0">
      <selection activeCell="D11" sqref="D11"/>
    </sheetView>
  </sheetViews>
  <sheetFormatPr defaultRowHeight="15" x14ac:dyDescent="0.25"/>
  <cols>
    <col min="1" max="10" width="11.5703125" customWidth="1"/>
  </cols>
  <sheetData>
    <row r="1" spans="1:10" ht="30.75" x14ac:dyDescent="0.55000000000000004">
      <c r="A1" s="44" t="s">
        <v>29</v>
      </c>
      <c r="B1" s="44"/>
      <c r="C1" s="44"/>
      <c r="D1" s="44"/>
      <c r="E1" s="44"/>
      <c r="F1" s="44"/>
      <c r="G1" s="44"/>
      <c r="H1" s="44"/>
    </row>
    <row r="2" spans="1:10" ht="16.5" x14ac:dyDescent="0.25">
      <c r="A2" s="45" t="s">
        <v>30</v>
      </c>
      <c r="B2" s="45"/>
      <c r="C2" s="45"/>
      <c r="D2" s="45"/>
      <c r="E2" s="45"/>
      <c r="F2" s="45"/>
      <c r="G2" s="45"/>
      <c r="H2" s="45"/>
    </row>
    <row r="3" spans="1:10" ht="17.45" customHeight="1" x14ac:dyDescent="0.25"/>
    <row r="4" spans="1:10" ht="19.5" customHeight="1" x14ac:dyDescent="0.25">
      <c r="A4" s="38" t="s">
        <v>10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39" t="s">
        <v>18</v>
      </c>
      <c r="I4" s="39" t="s">
        <v>19</v>
      </c>
      <c r="J4" s="39" t="s">
        <v>20</v>
      </c>
    </row>
    <row r="5" spans="1:10" ht="27" customHeight="1" x14ac:dyDescent="0.25">
      <c r="A5" s="15">
        <v>238</v>
      </c>
      <c r="B5" s="15">
        <v>298</v>
      </c>
      <c r="C5" s="15">
        <v>188</v>
      </c>
      <c r="D5" s="15">
        <v>274</v>
      </c>
      <c r="E5" s="15">
        <v>184</v>
      </c>
      <c r="F5" s="15">
        <v>170</v>
      </c>
      <c r="G5" s="15" t="s">
        <v>50</v>
      </c>
      <c r="H5" s="15"/>
      <c r="I5" s="15"/>
      <c r="J5" s="15"/>
    </row>
  </sheetData>
  <mergeCells count="2">
    <mergeCell ref="A1:H1"/>
    <mergeCell ref="A2:H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151AD-6260-406E-9DBA-C64F48148615}">
  <sheetPr codeName="Sheet4"/>
  <dimension ref="A1:E13"/>
  <sheetViews>
    <sheetView workbookViewId="0">
      <selection sqref="A1:E1"/>
    </sheetView>
  </sheetViews>
  <sheetFormatPr defaultRowHeight="15" x14ac:dyDescent="0.25"/>
  <cols>
    <col min="1" max="1" width="30.7109375" style="12" customWidth="1"/>
    <col min="2" max="2" width="0.140625" style="12" customWidth="1"/>
    <col min="3" max="3" width="30.7109375" style="12" customWidth="1"/>
    <col min="4" max="16384" width="9.140625" style="12"/>
  </cols>
  <sheetData>
    <row r="1" spans="1:5" ht="30.75" x14ac:dyDescent="0.55000000000000004">
      <c r="A1" s="46" t="s">
        <v>21</v>
      </c>
      <c r="B1" s="46"/>
      <c r="C1" s="46"/>
      <c r="D1" s="46"/>
      <c r="E1" s="46"/>
    </row>
    <row r="2" spans="1:5" ht="50.1" customHeight="1" x14ac:dyDescent="0.25">
      <c r="A2" s="47" t="s">
        <v>22</v>
      </c>
      <c r="B2" s="47"/>
      <c r="C2" s="47"/>
      <c r="D2" s="47"/>
      <c r="E2" s="47"/>
    </row>
    <row r="3" spans="1:5" ht="4.5" customHeight="1" x14ac:dyDescent="0.25"/>
    <row r="4" spans="1:5" ht="24" customHeight="1" x14ac:dyDescent="0.25">
      <c r="A4" s="37" t="s">
        <v>23</v>
      </c>
      <c r="B4" s="13">
        <v>150</v>
      </c>
      <c r="C4" s="14">
        <v>150</v>
      </c>
    </row>
    <row r="5" spans="1:5" ht="4.5" customHeight="1" x14ac:dyDescent="0.25"/>
    <row r="6" spans="1:5" ht="24" customHeight="1" x14ac:dyDescent="0.25">
      <c r="A6" s="37" t="s">
        <v>24</v>
      </c>
      <c r="B6" s="13">
        <v>15</v>
      </c>
      <c r="C6" s="14">
        <v>15</v>
      </c>
    </row>
    <row r="7" spans="1:5" ht="4.5" customHeight="1" x14ac:dyDescent="0.25"/>
    <row r="8" spans="1:5" ht="24" customHeight="1" x14ac:dyDescent="0.25">
      <c r="A8" s="37" t="s">
        <v>25</v>
      </c>
      <c r="B8" s="13">
        <v>10</v>
      </c>
      <c r="C8" s="14">
        <v>10</v>
      </c>
    </row>
    <row r="9" spans="1:5" ht="4.5" customHeight="1" x14ac:dyDescent="0.25"/>
    <row r="10" spans="1:5" ht="24" customHeight="1" x14ac:dyDescent="0.25">
      <c r="A10" s="37" t="s">
        <v>26</v>
      </c>
      <c r="B10" s="13" t="s">
        <v>27</v>
      </c>
      <c r="C10" s="14" t="s">
        <v>27</v>
      </c>
    </row>
    <row r="13" spans="1:5" ht="50.1" customHeight="1" x14ac:dyDescent="0.25">
      <c r="A13" s="48" t="s">
        <v>28</v>
      </c>
      <c r="B13" s="48"/>
      <c r="C13" s="48"/>
      <c r="D13" s="48"/>
      <c r="E13" s="48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638E9002-9736-4085-8DB2-8AE6B3E54528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9E73E311-4912-4427-9957-15186765ED6F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0F2FBF5D-BECB-45BF-9086-E30D2C8E730A}">
      <formula1>1</formula1>
      <formula2>1000</formula2>
    </dataValidation>
    <dataValidation type="list" errorStyle="information" allowBlank="1" showInputMessage="1" sqref="C10" xr:uid="{FDAF4510-25A0-409B-AC0F-D3A3885F981C}">
      <mc:AlternateContent xmlns:x12ac="http://schemas.microsoft.com/office/spreadsheetml/2011/1/ac" xmlns:mc="http://schemas.openxmlformats.org/markup-compatibility/2006">
        <mc:Choice Requires="x12ac">
          <x12ac:list>"Newest first,Newest last"</x12ac:list>
        </mc:Choice>
        <mc:Fallback>
          <formula1>"Newest first,Newest last"</formula1>
        </mc:Fallback>
      </mc:AlternateContent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28837-4FA2-4792-B4E2-FFC7F995E88A}">
  <sheetPr codeName="Sheet5"/>
  <dimension ref="A1:L16"/>
  <sheetViews>
    <sheetView topLeftCell="A10" workbookViewId="0">
      <selection activeCell="E21" sqref="E21"/>
    </sheetView>
  </sheetViews>
  <sheetFormatPr defaultRowHeight="15" x14ac:dyDescent="0.25"/>
  <cols>
    <col min="1" max="2" width="3.7109375" style="2" customWidth="1"/>
    <col min="3" max="3" width="14.7109375" style="2" customWidth="1"/>
    <col min="4" max="4" width="18.7109375" style="2" customWidth="1"/>
    <col min="5" max="5" width="60.7109375" style="2" customWidth="1"/>
    <col min="6" max="6" width="16.7109375" style="2" customWidth="1"/>
    <col min="7" max="7" width="12.7109375" style="2" customWidth="1"/>
    <col min="8" max="8" width="9.140625" style="2"/>
    <col min="9" max="9" width="16.7109375" style="2" customWidth="1"/>
    <col min="10" max="10" width="60.7109375" style="2" customWidth="1"/>
    <col min="11" max="16384" width="9.140625" style="2"/>
  </cols>
  <sheetData>
    <row r="1" spans="1:12" ht="30.75" x14ac:dyDescent="0.55000000000000004">
      <c r="A1" s="51" t="s">
        <v>46</v>
      </c>
      <c r="B1" s="51"/>
      <c r="C1" s="51"/>
      <c r="D1" s="51"/>
      <c r="E1" s="51"/>
      <c r="F1" s="51"/>
      <c r="G1" s="51"/>
      <c r="L1" s="34" t="s">
        <v>88</v>
      </c>
    </row>
    <row r="2" spans="1:12" ht="48" customHeight="1" x14ac:dyDescent="0.25">
      <c r="A2" s="52" t="s">
        <v>4</v>
      </c>
      <c r="B2" s="52"/>
      <c r="C2" s="52"/>
      <c r="D2" s="52"/>
      <c r="E2" s="52"/>
      <c r="F2" s="52"/>
      <c r="G2" s="52"/>
    </row>
    <row r="3" spans="1:12" ht="26.1" customHeight="1" x14ac:dyDescent="0.5">
      <c r="B3" s="55" t="s">
        <v>0</v>
      </c>
      <c r="C3" s="55"/>
      <c r="D3" s="55"/>
      <c r="E3" s="55"/>
      <c r="F3" s="55"/>
      <c r="G3" s="55"/>
      <c r="H3" s="55"/>
    </row>
    <row r="4" spans="1:12" ht="26.1" customHeight="1" x14ac:dyDescent="0.3">
      <c r="B4" s="53"/>
      <c r="C4" s="53"/>
      <c r="D4" s="53"/>
      <c r="E4" s="53"/>
      <c r="F4" s="53"/>
      <c r="G4" s="53"/>
      <c r="I4" s="49" t="s">
        <v>1</v>
      </c>
      <c r="J4" s="49"/>
    </row>
    <row r="5" spans="1:12" ht="24" customHeight="1" x14ac:dyDescent="0.25">
      <c r="B5" s="53"/>
      <c r="C5" s="3" t="s">
        <v>5</v>
      </c>
      <c r="D5" s="3" t="s">
        <v>6</v>
      </c>
      <c r="E5" s="3" t="s">
        <v>7</v>
      </c>
      <c r="F5" s="3" t="s">
        <v>8</v>
      </c>
      <c r="G5" s="3" t="s">
        <v>9</v>
      </c>
      <c r="I5" s="50" t="s">
        <v>87</v>
      </c>
      <c r="J5" s="50"/>
      <c r="K5" s="34">
        <v>1</v>
      </c>
    </row>
    <row r="6" spans="1:12" ht="24" customHeight="1" x14ac:dyDescent="0.3">
      <c r="B6" s="53"/>
      <c r="C6" s="36" t="s">
        <v>10</v>
      </c>
      <c r="D6" s="5" t="s">
        <v>10</v>
      </c>
      <c r="E6" s="5"/>
      <c r="F6" s="5"/>
      <c r="G6" s="4" t="s">
        <v>11</v>
      </c>
      <c r="I6" s="49" t="s">
        <v>2</v>
      </c>
      <c r="J6" s="49"/>
    </row>
    <row r="7" spans="1:12" ht="24" customHeight="1" x14ac:dyDescent="0.25">
      <c r="B7" s="53"/>
      <c r="C7" s="7" t="s">
        <v>12</v>
      </c>
      <c r="D7" s="8" t="s">
        <v>12</v>
      </c>
      <c r="E7" s="8"/>
      <c r="F7" s="8"/>
      <c r="G7" s="6" t="s">
        <v>11</v>
      </c>
      <c r="I7" s="35">
        <v>150</v>
      </c>
    </row>
    <row r="8" spans="1:12" ht="24" customHeight="1" x14ac:dyDescent="0.3">
      <c r="B8" s="53"/>
      <c r="C8" s="7" t="s">
        <v>13</v>
      </c>
      <c r="D8" s="8" t="s">
        <v>13</v>
      </c>
      <c r="E8" s="8"/>
      <c r="F8" s="8"/>
      <c r="G8" s="6" t="s">
        <v>11</v>
      </c>
      <c r="I8" s="49" t="s">
        <v>3</v>
      </c>
      <c r="J8" s="49"/>
    </row>
    <row r="9" spans="1:12" ht="24" customHeight="1" x14ac:dyDescent="0.25">
      <c r="B9" s="53"/>
      <c r="C9" s="7" t="s">
        <v>14</v>
      </c>
      <c r="D9" s="8" t="s">
        <v>14</v>
      </c>
      <c r="E9" s="8"/>
      <c r="F9" s="8"/>
      <c r="G9" s="6" t="s">
        <v>11</v>
      </c>
      <c r="I9" s="35">
        <v>9600</v>
      </c>
    </row>
    <row r="10" spans="1:12" ht="24" customHeight="1" x14ac:dyDescent="0.25">
      <c r="B10" s="53"/>
      <c r="C10" s="7" t="s">
        <v>15</v>
      </c>
      <c r="D10" s="8" t="s">
        <v>15</v>
      </c>
      <c r="E10" s="8"/>
      <c r="F10" s="8"/>
      <c r="G10" s="6" t="s">
        <v>11</v>
      </c>
    </row>
    <row r="11" spans="1:12" ht="24" customHeight="1" x14ac:dyDescent="0.25">
      <c r="B11" s="53"/>
      <c r="C11" s="7" t="s">
        <v>16</v>
      </c>
      <c r="D11" s="8" t="s">
        <v>16</v>
      </c>
      <c r="E11" s="8"/>
      <c r="F11" s="8"/>
      <c r="G11" s="6" t="s">
        <v>11</v>
      </c>
    </row>
    <row r="12" spans="1:12" ht="24" customHeight="1" x14ac:dyDescent="0.25">
      <c r="B12" s="53"/>
      <c r="C12" s="7" t="s">
        <v>17</v>
      </c>
      <c r="D12" s="8" t="s">
        <v>17</v>
      </c>
      <c r="E12" s="8"/>
      <c r="F12" s="8"/>
      <c r="G12" s="6" t="s">
        <v>11</v>
      </c>
    </row>
    <row r="13" spans="1:12" ht="24" customHeight="1" x14ac:dyDescent="0.25">
      <c r="B13" s="53"/>
      <c r="C13" s="7" t="s">
        <v>18</v>
      </c>
      <c r="D13" s="8" t="s">
        <v>18</v>
      </c>
      <c r="E13" s="8"/>
      <c r="F13" s="8"/>
      <c r="G13" s="6" t="s">
        <v>11</v>
      </c>
    </row>
    <row r="14" spans="1:12" ht="24" customHeight="1" x14ac:dyDescent="0.25">
      <c r="B14" s="53"/>
      <c r="C14" s="7" t="s">
        <v>19</v>
      </c>
      <c r="D14" s="8" t="s">
        <v>19</v>
      </c>
      <c r="E14" s="8"/>
      <c r="F14" s="8"/>
      <c r="G14" s="6" t="s">
        <v>11</v>
      </c>
    </row>
    <row r="15" spans="1:12" ht="24" customHeight="1" thickBot="1" x14ac:dyDescent="0.3">
      <c r="B15" s="54"/>
      <c r="C15" s="9" t="s">
        <v>20</v>
      </c>
      <c r="D15" s="10" t="s">
        <v>20</v>
      </c>
      <c r="E15" s="10"/>
      <c r="F15" s="10"/>
      <c r="G15" s="11" t="s">
        <v>11</v>
      </c>
    </row>
    <row r="16" spans="1:12" ht="15.75" thickTop="1" x14ac:dyDescent="0.25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DC5AD-7D6E-4974-AD3E-2F5F3ADEA24D}">
  <sheetPr codeName="Sheet7"/>
  <dimension ref="A1:A79"/>
  <sheetViews>
    <sheetView showGridLines="0" workbookViewId="0">
      <selection activeCell="A79" sqref="A79"/>
    </sheetView>
  </sheetViews>
  <sheetFormatPr defaultRowHeight="15" x14ac:dyDescent="0.25"/>
  <cols>
    <col min="1" max="1" width="26.140625" customWidth="1"/>
  </cols>
  <sheetData>
    <row r="1" spans="1:1" x14ac:dyDescent="0.25">
      <c r="A1" t="s">
        <v>58</v>
      </c>
    </row>
    <row r="2" spans="1:1" x14ac:dyDescent="0.25">
      <c r="A2" t="s">
        <v>59</v>
      </c>
    </row>
    <row r="3" spans="1:1" x14ac:dyDescent="0.25">
      <c r="A3" t="s">
        <v>60</v>
      </c>
    </row>
    <row r="4" spans="1:1" x14ac:dyDescent="0.25">
      <c r="A4" t="s">
        <v>61</v>
      </c>
    </row>
    <row r="5" spans="1:1" x14ac:dyDescent="0.25">
      <c r="A5" t="s">
        <v>62</v>
      </c>
    </row>
    <row r="6" spans="1:1" x14ac:dyDescent="0.25">
      <c r="A6" t="s">
        <v>63</v>
      </c>
    </row>
    <row r="7" spans="1:1" x14ac:dyDescent="0.25">
      <c r="A7" t="s">
        <v>64</v>
      </c>
    </row>
    <row r="8" spans="1:1" x14ac:dyDescent="0.25">
      <c r="A8" t="s">
        <v>69</v>
      </c>
    </row>
    <row r="9" spans="1:1" x14ac:dyDescent="0.25">
      <c r="A9" t="s">
        <v>71</v>
      </c>
    </row>
    <row r="10" spans="1:1" x14ac:dyDescent="0.25">
      <c r="A10" t="s">
        <v>72</v>
      </c>
    </row>
    <row r="11" spans="1:1" x14ac:dyDescent="0.25">
      <c r="A11" t="s">
        <v>73</v>
      </c>
    </row>
    <row r="12" spans="1:1" x14ac:dyDescent="0.25">
      <c r="A12" t="s">
        <v>74</v>
      </c>
    </row>
    <row r="13" spans="1:1" x14ac:dyDescent="0.25">
      <c r="A13" t="s">
        <v>63</v>
      </c>
    </row>
    <row r="14" spans="1:1" x14ac:dyDescent="0.25">
      <c r="A14" t="s">
        <v>64</v>
      </c>
    </row>
    <row r="15" spans="1:1" x14ac:dyDescent="0.25">
      <c r="A15" t="s">
        <v>69</v>
      </c>
    </row>
    <row r="16" spans="1:1" x14ac:dyDescent="0.25">
      <c r="A16" t="s">
        <v>66</v>
      </c>
    </row>
    <row r="17" spans="1:1" x14ac:dyDescent="0.25">
      <c r="A17" t="s">
        <v>68</v>
      </c>
    </row>
    <row r="18" spans="1:1" x14ac:dyDescent="0.25">
      <c r="A18" t="s">
        <v>61</v>
      </c>
    </row>
    <row r="19" spans="1:1" x14ac:dyDescent="0.25">
      <c r="A19" t="s">
        <v>75</v>
      </c>
    </row>
    <row r="20" spans="1:1" x14ac:dyDescent="0.25">
      <c r="A20" t="s">
        <v>63</v>
      </c>
    </row>
    <row r="21" spans="1:1" x14ac:dyDescent="0.25">
      <c r="A21" t="s">
        <v>64</v>
      </c>
    </row>
    <row r="22" spans="1:1" x14ac:dyDescent="0.25">
      <c r="A22" t="s">
        <v>69</v>
      </c>
    </row>
    <row r="23" spans="1:1" x14ac:dyDescent="0.25">
      <c r="A23" t="s">
        <v>66</v>
      </c>
    </row>
    <row r="24" spans="1:1" x14ac:dyDescent="0.25">
      <c r="A24" t="s">
        <v>68</v>
      </c>
    </row>
    <row r="25" spans="1:1" x14ac:dyDescent="0.25">
      <c r="A25" t="s">
        <v>61</v>
      </c>
    </row>
    <row r="26" spans="1:1" x14ac:dyDescent="0.25">
      <c r="A26" t="s">
        <v>75</v>
      </c>
    </row>
    <row r="27" spans="1:1" x14ac:dyDescent="0.25">
      <c r="A27" t="s">
        <v>76</v>
      </c>
    </row>
    <row r="28" spans="1:1" x14ac:dyDescent="0.25">
      <c r="A28" t="s">
        <v>67</v>
      </c>
    </row>
    <row r="29" spans="1:1" x14ac:dyDescent="0.25">
      <c r="A29" t="s">
        <v>69</v>
      </c>
    </row>
    <row r="30" spans="1:1" x14ac:dyDescent="0.25">
      <c r="A30" t="s">
        <v>66</v>
      </c>
    </row>
    <row r="31" spans="1:1" x14ac:dyDescent="0.25">
      <c r="A31" t="s">
        <v>77</v>
      </c>
    </row>
    <row r="32" spans="1:1" x14ac:dyDescent="0.25">
      <c r="A32" t="s">
        <v>78</v>
      </c>
    </row>
    <row r="33" spans="1:1" x14ac:dyDescent="0.25">
      <c r="A33" t="s">
        <v>75</v>
      </c>
    </row>
    <row r="34" spans="1:1" x14ac:dyDescent="0.25">
      <c r="A34" t="s">
        <v>76</v>
      </c>
    </row>
    <row r="35" spans="1:1" x14ac:dyDescent="0.25">
      <c r="A35" t="s">
        <v>67</v>
      </c>
    </row>
    <row r="36" spans="1:1" x14ac:dyDescent="0.25">
      <c r="A36" t="s">
        <v>65</v>
      </c>
    </row>
    <row r="37" spans="1:1" x14ac:dyDescent="0.25">
      <c r="A37" t="s">
        <v>66</v>
      </c>
    </row>
    <row r="38" spans="1:1" x14ac:dyDescent="0.25">
      <c r="A38" t="s">
        <v>77</v>
      </c>
    </row>
    <row r="39" spans="1:1" x14ac:dyDescent="0.25">
      <c r="A39" t="s">
        <v>78</v>
      </c>
    </row>
    <row r="40" spans="1:1" x14ac:dyDescent="0.25">
      <c r="A40" t="s">
        <v>75</v>
      </c>
    </row>
    <row r="41" spans="1:1" x14ac:dyDescent="0.25">
      <c r="A41" t="s">
        <v>76</v>
      </c>
    </row>
    <row r="42" spans="1:1" x14ac:dyDescent="0.25">
      <c r="A42" t="s">
        <v>64</v>
      </c>
    </row>
    <row r="43" spans="1:1" x14ac:dyDescent="0.25">
      <c r="A43" t="s">
        <v>65</v>
      </c>
    </row>
    <row r="44" spans="1:1" x14ac:dyDescent="0.25">
      <c r="A44" t="s">
        <v>66</v>
      </c>
    </row>
    <row r="45" spans="1:1" x14ac:dyDescent="0.25">
      <c r="A45" t="s">
        <v>79</v>
      </c>
    </row>
    <row r="46" spans="1:1" x14ac:dyDescent="0.25">
      <c r="A46" t="s">
        <v>80</v>
      </c>
    </row>
    <row r="47" spans="1:1" x14ac:dyDescent="0.25">
      <c r="A47" t="s">
        <v>75</v>
      </c>
    </row>
    <row r="48" spans="1:1" x14ac:dyDescent="0.25">
      <c r="A48" t="s">
        <v>76</v>
      </c>
    </row>
    <row r="49" spans="1:1" x14ac:dyDescent="0.25">
      <c r="A49" t="s">
        <v>64</v>
      </c>
    </row>
    <row r="50" spans="1:1" x14ac:dyDescent="0.25">
      <c r="A50" t="s">
        <v>65</v>
      </c>
    </row>
    <row r="51" spans="1:1" x14ac:dyDescent="0.25">
      <c r="A51" t="s">
        <v>81</v>
      </c>
    </row>
    <row r="52" spans="1:1" x14ac:dyDescent="0.25">
      <c r="A52" t="s">
        <v>82</v>
      </c>
    </row>
    <row r="53" spans="1:1" x14ac:dyDescent="0.25">
      <c r="A53" t="s">
        <v>61</v>
      </c>
    </row>
    <row r="54" spans="1:1" x14ac:dyDescent="0.25">
      <c r="A54" t="s">
        <v>83</v>
      </c>
    </row>
    <row r="55" spans="1:1" x14ac:dyDescent="0.25">
      <c r="A55" t="s">
        <v>76</v>
      </c>
    </row>
    <row r="56" spans="1:1" x14ac:dyDescent="0.25">
      <c r="A56" t="s">
        <v>64</v>
      </c>
    </row>
    <row r="57" spans="1:1" x14ac:dyDescent="0.25">
      <c r="A57" t="s">
        <v>69</v>
      </c>
    </row>
    <row r="58" spans="1:1" x14ac:dyDescent="0.25">
      <c r="A58" t="s">
        <v>81</v>
      </c>
    </row>
    <row r="59" spans="1:1" x14ac:dyDescent="0.25">
      <c r="A59" t="s">
        <v>82</v>
      </c>
    </row>
    <row r="60" spans="1:1" x14ac:dyDescent="0.25">
      <c r="A60" t="s">
        <v>61</v>
      </c>
    </row>
    <row r="61" spans="1:1" x14ac:dyDescent="0.25">
      <c r="A61" t="s">
        <v>83</v>
      </c>
    </row>
    <row r="62" spans="1:1" x14ac:dyDescent="0.25">
      <c r="A62" t="s">
        <v>76</v>
      </c>
    </row>
    <row r="63" spans="1:1" x14ac:dyDescent="0.25">
      <c r="A63" t="s">
        <v>84</v>
      </c>
    </row>
    <row r="64" spans="1:1" x14ac:dyDescent="0.25">
      <c r="A64" t="s">
        <v>65</v>
      </c>
    </row>
    <row r="65" spans="1:1" x14ac:dyDescent="0.25">
      <c r="A65" t="s">
        <v>81</v>
      </c>
    </row>
    <row r="66" spans="1:1" x14ac:dyDescent="0.25">
      <c r="A66" t="s">
        <v>85</v>
      </c>
    </row>
    <row r="67" spans="1:1" x14ac:dyDescent="0.25">
      <c r="A67" t="s">
        <v>61</v>
      </c>
    </row>
    <row r="68" spans="1:1" x14ac:dyDescent="0.25">
      <c r="A68" t="s">
        <v>83</v>
      </c>
    </row>
    <row r="69" spans="1:1" x14ac:dyDescent="0.25">
      <c r="A69" t="s">
        <v>76</v>
      </c>
    </row>
    <row r="70" spans="1:1" x14ac:dyDescent="0.25">
      <c r="A70" t="s">
        <v>84</v>
      </c>
    </row>
    <row r="71" spans="1:1" x14ac:dyDescent="0.25">
      <c r="A71" t="s">
        <v>69</v>
      </c>
    </row>
    <row r="72" spans="1:1" x14ac:dyDescent="0.25">
      <c r="A72" t="s">
        <v>59</v>
      </c>
    </row>
    <row r="73" spans="1:1" x14ac:dyDescent="0.25">
      <c r="A73" t="s">
        <v>60</v>
      </c>
    </row>
    <row r="74" spans="1:1" x14ac:dyDescent="0.25">
      <c r="A74" t="s">
        <v>61</v>
      </c>
    </row>
    <row r="75" spans="1:1" x14ac:dyDescent="0.25">
      <c r="A75" t="s">
        <v>62</v>
      </c>
    </row>
    <row r="76" spans="1:1" x14ac:dyDescent="0.25">
      <c r="A76" t="s">
        <v>63</v>
      </c>
    </row>
    <row r="77" spans="1:1" x14ac:dyDescent="0.25">
      <c r="A77" t="s">
        <v>64</v>
      </c>
    </row>
    <row r="78" spans="1:1" x14ac:dyDescent="0.25">
      <c r="A78" t="s">
        <v>69</v>
      </c>
    </row>
    <row r="79" spans="1:1" x14ac:dyDescent="0.25">
      <c r="A79" t="s">
        <v>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9788-5E14-44F6-B0DD-69E0E65B88B3}">
  <sheetPr codeName="Sheet6"/>
  <dimension ref="A1:P8"/>
  <sheetViews>
    <sheetView showGridLines="0" topLeftCell="B1" workbookViewId="0">
      <selection activeCell="L2" sqref="L2"/>
    </sheetView>
  </sheetViews>
  <sheetFormatPr defaultRowHeight="15" x14ac:dyDescent="0.25"/>
  <cols>
    <col min="3" max="8" width="12.85546875" customWidth="1"/>
    <col min="9" max="9" width="11.7109375" customWidth="1"/>
    <col min="10" max="11" width="15.140625" customWidth="1"/>
    <col min="12" max="12" width="14.140625" customWidth="1"/>
  </cols>
  <sheetData>
    <row r="1" spans="1:16" x14ac:dyDescent="0.25">
      <c r="A1" t="s">
        <v>50</v>
      </c>
      <c r="C1" s="25" t="s">
        <v>36</v>
      </c>
      <c r="D1" s="25" t="s">
        <v>37</v>
      </c>
      <c r="E1" s="25" t="s">
        <v>38</v>
      </c>
      <c r="F1" s="25" t="s">
        <v>39</v>
      </c>
      <c r="G1" s="25" t="s">
        <v>40</v>
      </c>
      <c r="H1" s="25" t="s">
        <v>41</v>
      </c>
      <c r="I1" s="32" t="s">
        <v>52</v>
      </c>
      <c r="J1" s="32" t="s">
        <v>53</v>
      </c>
      <c r="K1" s="32" t="s">
        <v>54</v>
      </c>
      <c r="L1" s="32" t="s">
        <v>57</v>
      </c>
      <c r="P1" t="s">
        <v>55</v>
      </c>
    </row>
    <row r="2" spans="1:16" x14ac:dyDescent="0.25">
      <c r="A2" t="s">
        <v>51</v>
      </c>
      <c r="C2" s="33" t="str">
        <f>IF('Robot Programming'!C4='Robot Programming'!B9,"OK","NOK")</f>
        <v>OK</v>
      </c>
      <c r="D2" s="33" t="str">
        <f>IF('Robot Programming'!D4='Robot Programming'!C9,"OK","NOK")</f>
        <v>OK</v>
      </c>
      <c r="E2" s="33" t="str">
        <f>IF('Robot Programming'!E4='Robot Programming'!D9,"OK","NOK")</f>
        <v>OK</v>
      </c>
      <c r="F2" s="33" t="str">
        <f>IF('Robot Programming'!F4='Robot Programming'!E9,"OK","NOK")</f>
        <v>OK</v>
      </c>
      <c r="G2" s="33" t="str">
        <f>IF('Robot Programming'!G4='Robot Programming'!F9,"OK","NOK")</f>
        <v>OK</v>
      </c>
      <c r="H2" s="33" t="str">
        <f>IF('Robot Programming'!H4='Robot Programming'!G9,"OK","NOK")</f>
        <v>OK</v>
      </c>
      <c r="I2" s="33" t="str">
        <f>IF(COUNTIF(C2:H2,"OK")=6,"NEXT")</f>
        <v>NEXT</v>
      </c>
      <c r="J2" s="30">
        <v>4</v>
      </c>
      <c r="K2" s="30">
        <v>5</v>
      </c>
      <c r="L2" s="30" t="b">
        <v>1</v>
      </c>
    </row>
    <row r="6" spans="1:16" x14ac:dyDescent="0.25">
      <c r="C6" t="s">
        <v>49</v>
      </c>
    </row>
    <row r="7" spans="1:16" x14ac:dyDescent="0.25">
      <c r="C7" s="25" t="s">
        <v>36</v>
      </c>
      <c r="D7" s="25" t="s">
        <v>37</v>
      </c>
      <c r="E7" s="25" t="s">
        <v>38</v>
      </c>
      <c r="F7" s="25" t="s">
        <v>39</v>
      </c>
      <c r="G7" s="25" t="s">
        <v>40</v>
      </c>
      <c r="H7" s="25" t="s">
        <v>41</v>
      </c>
      <c r="I7" s="25" t="s">
        <v>45</v>
      </c>
    </row>
    <row r="8" spans="1:16" ht="16.5" x14ac:dyDescent="0.25">
      <c r="C8" s="27">
        <v>238</v>
      </c>
      <c r="D8" s="27">
        <v>120</v>
      </c>
      <c r="E8" s="27">
        <v>0</v>
      </c>
      <c r="F8" s="27">
        <v>400</v>
      </c>
      <c r="G8" s="27">
        <v>0</v>
      </c>
      <c r="H8" s="27">
        <v>220</v>
      </c>
      <c r="I8" s="27" t="s">
        <v>50</v>
      </c>
    </row>
  </sheetData>
  <dataValidations count="1">
    <dataValidation type="list" allowBlank="1" showInputMessage="1" showErrorMessage="1" sqref="I8" xr:uid="{82885584-101E-4C47-A2ED-7ACF7C352F37}">
      <formula1>$A$1:$A$2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Robot Programming</vt:lpstr>
      <vt:lpstr>Data In</vt:lpstr>
      <vt:lpstr>Data Out</vt:lpstr>
      <vt:lpstr>Settings</vt:lpstr>
      <vt:lpstr>Manifest</vt:lpstr>
      <vt:lpstr>Arduino_Code</vt:lpstr>
      <vt:lpstr>Ref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Yaser Ali Husen</dc:creator>
  <cp:lastModifiedBy>Yaser Ali Husen</cp:lastModifiedBy>
  <dcterms:created xsi:type="dcterms:W3CDTF">2023-10-13T02:23:01Z</dcterms:created>
  <dcterms:modified xsi:type="dcterms:W3CDTF">2023-10-18T22:23:04Z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60c2deeb-4aa6-4b1b-b5b9-7bc0dc5542db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